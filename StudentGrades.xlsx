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5.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8.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makay\Downloads\"/>
    </mc:Choice>
  </mc:AlternateContent>
  <xr:revisionPtr revIDLastSave="0" documentId="13_ncr:1_{1095764B-2180-4001-B4DD-6AA90ED9E588}" xr6:coauthVersionLast="47" xr6:coauthVersionMax="47" xr10:uidLastSave="{00000000-0000-0000-0000-000000000000}"/>
  <bookViews>
    <workbookView xWindow="-110" yWindow="-110" windowWidth="23260" windowHeight="14860" firstSheet="1" activeTab="1" xr2:uid="{D3DC4F71-6DB2-704A-A870-B07014668EB9}"/>
  </bookViews>
  <sheets>
    <sheet name="Data Dictionary" sheetId="20" r:id="rId1"/>
    <sheet name="Raw Data" sheetId="1" r:id="rId2"/>
    <sheet name="Data Dictionary (Edited Data)" sheetId="25" r:id="rId3"/>
    <sheet name="Edited Data" sheetId="23" r:id="rId4"/>
    <sheet name="Descriptive Analysis" sheetId="24" r:id="rId5"/>
    <sheet name="Hypothesis Test - T Test " sheetId="26" r:id="rId6"/>
    <sheet name="Correlation" sheetId="27" r:id="rId7"/>
    <sheet name="Dummy Variables" sheetId="29" r:id="rId8"/>
    <sheet name="Residual Output" sheetId="32" r:id="rId9"/>
    <sheet name="Regression" sheetId="30" r:id="rId10"/>
  </sheets>
  <externalReferences>
    <externalReference r:id="rId11"/>
  </externalReferences>
  <definedNames>
    <definedName name="_xlnm._FilterDatabase" localSheetId="5" hidden="1">'Hypothesis Test - T Test '!$A$2:$B$264</definedName>
    <definedName name="_xlchart.v1.0" hidden="1">'Raw Data'!$J$1</definedName>
    <definedName name="_xlchart.v1.1" hidden="1">'Raw Data'!$J$2:$J$650</definedName>
    <definedName name="_xlchart.v1.2" hidden="1">'Raw Data'!$J$1</definedName>
    <definedName name="_xlchart.v1.3" hidden="1">'Raw Data'!$J$2:$J$650</definedName>
    <definedName name="_xlchart.v1.4" hidden="1">'Raw Data'!$P$1</definedName>
    <definedName name="_xlchart.v1.5" hidden="1">'Raw Data'!$P$2:$P$650</definedName>
    <definedName name="_xlchart.v1.6" hidden="1">'Edited Data'!$G$1</definedName>
    <definedName name="_xlchart.v1.7" hidden="1">'Edited Data'!$G$2:$G$300</definedName>
    <definedName name="_xlchart.v1.8" hidden="1">'Residual Output'!$C$25</definedName>
    <definedName name="_xlchart.v1.9" hidden="1">'Residual Output'!$C$26:$C$324</definedName>
  </definedNames>
  <calcPr calcId="191028"/>
  <pivotCaches>
    <pivotCache cacheId="0" r:id="rId12"/>
    <pivotCache cacheId="1" r:id="rId13"/>
    <pivotCache cacheId="2"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0" i="24" l="1"/>
  <c r="B129" i="24"/>
  <c r="B128" i="24"/>
  <c r="B126" i="24"/>
  <c r="B125" i="24"/>
  <c r="B124" i="24"/>
  <c r="B122" i="24"/>
  <c r="B131" i="24" s="1"/>
  <c r="B121" i="24"/>
  <c r="B120" i="24"/>
  <c r="B119" i="24"/>
  <c r="B85" i="24"/>
  <c r="B84" i="24"/>
  <c r="B90" i="24"/>
  <c r="B89" i="24"/>
  <c r="B88" i="24"/>
  <c r="B79" i="24"/>
  <c r="B86" i="24"/>
  <c r="B83" i="24"/>
  <c r="B82" i="24"/>
  <c r="B80" i="24"/>
</calcChain>
</file>

<file path=xl/sharedStrings.xml><?xml version="1.0" encoding="utf-8"?>
<sst xmlns="http://schemas.openxmlformats.org/spreadsheetml/2006/main" count="7191" uniqueCount="764">
  <si>
    <t>Student Grade Data</t>
  </si>
  <si>
    <t>Data on the final language arts grades of Portuguese high school students</t>
  </si>
  <si>
    <t>Collected from academic records and surveys distributed to two public high schools in Alentejo region of Portugal during the 2006-2007 school year</t>
  </si>
  <si>
    <t xml:space="preserve">Data is adapted from UCI Machine Learning Library (https://archive.ics.uci.edu/dataset/320/student+performance) </t>
  </si>
  <si>
    <t>Column</t>
  </si>
  <si>
    <t>Type</t>
  </si>
  <si>
    <t>Description</t>
  </si>
  <si>
    <t>Student ID</t>
  </si>
  <si>
    <t>Alphanumeric</t>
  </si>
  <si>
    <t>Unique student identifier</t>
  </si>
  <si>
    <t>Age</t>
  </si>
  <si>
    <t>Numeric</t>
  </si>
  <si>
    <t>Student age in years (15-22)</t>
  </si>
  <si>
    <t>Sex</t>
  </si>
  <si>
    <t>Categorical</t>
  </si>
  <si>
    <t>Student sex (Female, Male)</t>
  </si>
  <si>
    <t>Locale</t>
  </si>
  <si>
    <t>Locale type of student home (Urban, Rural)</t>
  </si>
  <si>
    <t>Siblings</t>
  </si>
  <si>
    <t>Student has siblings (Yes, No)</t>
  </si>
  <si>
    <t>Parent College</t>
  </si>
  <si>
    <t>Number of parent(s) who went to college (0=neither parent went to college)</t>
  </si>
  <si>
    <t>School</t>
  </si>
  <si>
    <t>School name (GP = Gabriel Pereira, MS = Mousinho da Silveira)</t>
  </si>
  <si>
    <t>Extracurriculars</t>
  </si>
  <si>
    <t>Student participates in extracurricular activities (Yes, No)</t>
  </si>
  <si>
    <t>School Support</t>
  </si>
  <si>
    <t>Student receives extra educational support at school (Yes, No)</t>
  </si>
  <si>
    <t>Study Time</t>
  </si>
  <si>
    <t>Weekly study time outside of school in hours</t>
  </si>
  <si>
    <t>Failures</t>
  </si>
  <si>
    <t>Number of previous classes failed</t>
  </si>
  <si>
    <t>Absences</t>
  </si>
  <si>
    <t>Number of days absent from school</t>
  </si>
  <si>
    <t>College</t>
  </si>
  <si>
    <t>Student intends to go to college (Yes, No)</t>
  </si>
  <si>
    <t>Romantic</t>
  </si>
  <si>
    <t>Student is in a romantic relationship (Yes, No)</t>
  </si>
  <si>
    <t>Alcohol</t>
  </si>
  <si>
    <t>Self-rating of student alcohol consumption (1-5)</t>
  </si>
  <si>
    <t>Grade</t>
  </si>
  <si>
    <t>Final grade in language arts on a 20-point scale</t>
  </si>
  <si>
    <t>ES0441</t>
  </si>
  <si>
    <t>Male</t>
  </si>
  <si>
    <t>Urban</t>
  </si>
  <si>
    <t>Yes</t>
  </si>
  <si>
    <t>GP</t>
  </si>
  <si>
    <t>No</t>
  </si>
  <si>
    <t>ES0426</t>
  </si>
  <si>
    <t>Rural</t>
  </si>
  <si>
    <t>MS</t>
  </si>
  <si>
    <t>ES0502</t>
  </si>
  <si>
    <t>study time: hypothesis test</t>
  </si>
  <si>
    <t>ES0434</t>
  </si>
  <si>
    <t>ES0135</t>
  </si>
  <si>
    <t>ES0556</t>
  </si>
  <si>
    <t>Female</t>
  </si>
  <si>
    <t>ES0248</t>
  </si>
  <si>
    <t>ES0424</t>
  </si>
  <si>
    <t>ES0515</t>
  </si>
  <si>
    <t>ES0632</t>
  </si>
  <si>
    <t>ES0459</t>
  </si>
  <si>
    <t>ES0551</t>
  </si>
  <si>
    <t>ES0371</t>
  </si>
  <si>
    <t>ES0159</t>
  </si>
  <si>
    <t>ES0076</t>
  </si>
  <si>
    <t>ES0266</t>
  </si>
  <si>
    <t>ES0335</t>
  </si>
  <si>
    <t>ES0281</t>
  </si>
  <si>
    <t>ES0181</t>
  </si>
  <si>
    <t>ES0144</t>
  </si>
  <si>
    <t>ES0171</t>
  </si>
  <si>
    <t>ES0241</t>
  </si>
  <si>
    <t>ES0558</t>
  </si>
  <si>
    <t>ES0454</t>
  </si>
  <si>
    <t>ES0356</t>
  </si>
  <si>
    <t>ES0256</t>
  </si>
  <si>
    <t>ES0156</t>
  </si>
  <si>
    <t>ES0038</t>
  </si>
  <si>
    <t>ES0264</t>
  </si>
  <si>
    <t>ES0427</t>
  </si>
  <si>
    <t>ES0029</t>
  </si>
  <si>
    <t>ES0473</t>
  </si>
  <si>
    <t>ES0046</t>
  </si>
  <si>
    <t>ES0090</t>
  </si>
  <si>
    <t>ES0384</t>
  </si>
  <si>
    <t>ES0470</t>
  </si>
  <si>
    <t>ES0124</t>
  </si>
  <si>
    <t>ES0432</t>
  </si>
  <si>
    <t>ES0313</t>
  </si>
  <si>
    <t>ES0228</t>
  </si>
  <si>
    <t>ES0597</t>
  </si>
  <si>
    <t>ES0204</t>
  </si>
  <si>
    <t>ES0366</t>
  </si>
  <si>
    <t>ES0467</t>
  </si>
  <si>
    <t>ES0305</t>
  </si>
  <si>
    <t>ES0494</t>
  </si>
  <si>
    <t>ES0442</t>
  </si>
  <si>
    <t>ES0146</t>
  </si>
  <si>
    <t>ES0340</t>
  </si>
  <si>
    <t>ES0643</t>
  </si>
  <si>
    <t>ES0592</t>
  </si>
  <si>
    <t>ES0200</t>
  </si>
  <si>
    <t>ES0439</t>
  </si>
  <si>
    <t>ES0238</t>
  </si>
  <si>
    <t>ES0275</t>
  </si>
  <si>
    <t>ES0547</t>
  </si>
  <si>
    <t>ES0048</t>
  </si>
  <si>
    <t>ES0539</t>
  </si>
  <si>
    <t>ES0629</t>
  </si>
  <si>
    <t>ES0191</t>
  </si>
  <si>
    <t>ES0617</t>
  </si>
  <si>
    <t>ES0362</t>
  </si>
  <si>
    <t>ES0233</t>
  </si>
  <si>
    <t>ES0036</t>
  </si>
  <si>
    <t>ES0044</t>
  </si>
  <si>
    <t>ES0026</t>
  </si>
  <si>
    <t>ES0469</t>
  </si>
  <si>
    <t>ES0130</t>
  </si>
  <si>
    <t>ES0431</t>
  </si>
  <si>
    <t>ES0614</t>
  </si>
  <si>
    <t>ES0527</t>
  </si>
  <si>
    <t>ES0590</t>
  </si>
  <si>
    <t>ES0342</t>
  </si>
  <si>
    <t>ES0634</t>
  </si>
  <si>
    <t>ES0163</t>
  </si>
  <si>
    <t>ES0408</t>
  </si>
  <si>
    <t>ES0511</t>
  </si>
  <si>
    <t>ES0529</t>
  </si>
  <si>
    <t>ES0190</t>
  </si>
  <si>
    <t>ES0067</t>
  </si>
  <si>
    <t>ES0295</t>
  </si>
  <si>
    <t>ES0364</t>
  </si>
  <si>
    <t>ES0300</t>
  </si>
  <si>
    <t>ES0380</t>
  </si>
  <si>
    <t>ES0109</t>
  </si>
  <si>
    <t>ES0304</t>
  </si>
  <si>
    <t>ES0161</t>
  </si>
  <si>
    <t>ES0065</t>
  </si>
  <si>
    <t>ES0214</t>
  </si>
  <si>
    <t>ES0475</t>
  </si>
  <si>
    <t>ES0330</t>
  </si>
  <si>
    <t>ES0368</t>
  </si>
  <si>
    <t>ES0085</t>
  </si>
  <si>
    <t>ES0301</t>
  </si>
  <si>
    <t>ES0581</t>
  </si>
  <si>
    <t>ES0176</t>
  </si>
  <si>
    <t>ES0097</t>
  </si>
  <si>
    <t>ES0169</t>
  </si>
  <si>
    <t>ES0194</t>
  </si>
  <si>
    <t>ES0606</t>
  </si>
  <si>
    <t>ES0263</t>
  </si>
  <si>
    <t>ES0126</t>
  </si>
  <si>
    <t>ES0642</t>
  </si>
  <si>
    <t>ES0252</t>
  </si>
  <si>
    <t>ES0098</t>
  </si>
  <si>
    <t>ES0521</t>
  </si>
  <si>
    <t>ES0627</t>
  </si>
  <si>
    <t>ES0125</t>
  </si>
  <si>
    <t>ES0324</t>
  </si>
  <si>
    <t>ES0374</t>
  </si>
  <si>
    <t>ES0210</t>
  </si>
  <si>
    <t>ES0084</t>
  </si>
  <si>
    <t>ES0201</t>
  </si>
  <si>
    <t>ES0100</t>
  </si>
  <si>
    <t>ES0008</t>
  </si>
  <si>
    <t>ES0451</t>
  </si>
  <si>
    <t>ES0626</t>
  </si>
  <si>
    <t>ES0132</t>
  </si>
  <si>
    <t>ES0413</t>
  </si>
  <si>
    <t>ES0586</t>
  </si>
  <si>
    <t>ES0538</t>
  </si>
  <si>
    <t>ES0540</t>
  </si>
  <si>
    <t>ES0562</t>
  </si>
  <si>
    <t>ES0463</t>
  </si>
  <si>
    <t>ES0287</t>
  </si>
  <si>
    <t>ES0198</t>
  </si>
  <si>
    <t>ES0495</t>
  </si>
  <si>
    <t>ES0608</t>
  </si>
  <si>
    <t>ES0192</t>
  </si>
  <si>
    <t>ES0033</t>
  </si>
  <si>
    <t>ES0064</t>
  </si>
  <si>
    <t>ES0472</t>
  </si>
  <si>
    <t>ES0045</t>
  </si>
  <si>
    <t>ES0269</t>
  </si>
  <si>
    <t>ES0533</t>
  </si>
  <si>
    <t>ES0009</t>
  </si>
  <si>
    <t>ES0604</t>
  </si>
  <si>
    <t>ES0113</t>
  </si>
  <si>
    <t>ES0043</t>
  </si>
  <si>
    <t>ES0283</t>
  </si>
  <si>
    <t>ES0166</t>
  </si>
  <si>
    <t>ES0237</t>
  </si>
  <si>
    <t>ES0516</t>
  </si>
  <si>
    <t>ES0137</t>
  </si>
  <si>
    <t>ES0492</t>
  </si>
  <si>
    <t>ES0128</t>
  </si>
  <si>
    <t>ES0075</t>
  </si>
  <si>
    <t>ES0372</t>
  </si>
  <si>
    <t>ES0032</t>
  </si>
  <si>
    <t>ES0069</t>
  </si>
  <si>
    <t>ES0149</t>
  </si>
  <si>
    <t>ES0393</t>
  </si>
  <si>
    <t>ES0537</t>
  </si>
  <si>
    <t>ES0021</t>
  </si>
  <si>
    <t>ES0111</t>
  </si>
  <si>
    <t>ES0392</t>
  </si>
  <si>
    <t>ES0382</t>
  </si>
  <si>
    <t>ES0050</t>
  </si>
  <si>
    <t>ES0555</t>
  </si>
  <si>
    <t>ES0425</t>
  </si>
  <si>
    <t>ES0400</t>
  </si>
  <si>
    <t>ES0157</t>
  </si>
  <si>
    <t>ES0079</t>
  </si>
  <si>
    <t>ES0357</t>
  </si>
  <si>
    <t>ES0234</t>
  </si>
  <si>
    <t>ES0066</t>
  </si>
  <si>
    <t>ES0482</t>
  </si>
  <si>
    <t>ES0545</t>
  </si>
  <si>
    <t>ES0184</t>
  </si>
  <si>
    <t>ES0027</t>
  </si>
  <si>
    <t>ES0522</t>
  </si>
  <si>
    <t>ES0227</t>
  </si>
  <si>
    <t>ES0005</t>
  </si>
  <si>
    <t>ES0319</t>
  </si>
  <si>
    <t>ES0154</t>
  </si>
  <si>
    <t>ES0355</t>
  </si>
  <si>
    <t>ES0420</t>
  </si>
  <si>
    <t>ES0584</t>
  </si>
  <si>
    <t>ES0385</t>
  </si>
  <si>
    <t>ES0351</t>
  </si>
  <si>
    <t>ES0325</t>
  </si>
  <si>
    <t>ES0282</t>
  </si>
  <si>
    <t>ES0118</t>
  </si>
  <si>
    <t>ES0613</t>
  </si>
  <si>
    <t>ES0602</t>
  </si>
  <si>
    <t>ES0568</t>
  </si>
  <si>
    <t>ES0297</t>
  </si>
  <si>
    <t>ES0487</t>
  </si>
  <si>
    <t>ES0165</t>
  </si>
  <si>
    <t>ES0002</t>
  </si>
  <si>
    <t>ES0104</t>
  </si>
  <si>
    <t>ES0268</t>
  </si>
  <si>
    <t>ES0001</t>
  </si>
  <si>
    <t>ES0415</t>
  </si>
  <si>
    <t>ES0055</t>
  </si>
  <si>
    <t>ES0280</t>
  </si>
  <si>
    <t>ES0265</t>
  </si>
  <si>
    <t>ES0404</t>
  </si>
  <si>
    <t>ES0219</t>
  </si>
  <si>
    <t>ES0594</t>
  </si>
  <si>
    <t>ES0115</t>
  </si>
  <si>
    <t>ES0583</t>
  </si>
  <si>
    <t>ES0328</t>
  </si>
  <si>
    <t>ES0250</t>
  </si>
  <si>
    <t>ES0621</t>
  </si>
  <si>
    <t>ES0285</t>
  </si>
  <si>
    <t>ES0401</t>
  </si>
  <si>
    <t>ES0289</t>
  </si>
  <si>
    <t>ES0253</t>
  </si>
  <si>
    <t>ES0308</t>
  </si>
  <si>
    <t>ES0187</t>
  </si>
  <si>
    <t>ES0185</t>
  </si>
  <si>
    <t>ES0212</t>
  </si>
  <si>
    <t>ES0108</t>
  </si>
  <si>
    <t>ES0399</t>
  </si>
  <si>
    <t>ES0510</t>
  </si>
  <si>
    <t>ES0215</t>
  </si>
  <si>
    <t>ES0379</t>
  </si>
  <si>
    <t>ES0229</t>
  </si>
  <si>
    <t>ES0296</t>
  </si>
  <si>
    <t>ES0235</t>
  </si>
  <si>
    <t>ES0261</t>
  </si>
  <si>
    <t>ES0348</t>
  </si>
  <si>
    <t>ES0257</t>
  </si>
  <si>
    <t>ES0054</t>
  </si>
  <si>
    <t>ES0339</t>
  </si>
  <si>
    <t>ES0567</t>
  </si>
  <si>
    <t>ES0332</t>
  </si>
  <si>
    <t>ES0302</t>
  </si>
  <si>
    <t>ES0158</t>
  </si>
  <si>
    <t>ES0524</t>
  </si>
  <si>
    <t>ES0162</t>
  </si>
  <si>
    <t>ES0272</t>
  </si>
  <si>
    <t>ES0310</t>
  </si>
  <si>
    <t>ES0360</t>
  </si>
  <si>
    <t>ES0566</t>
  </si>
  <si>
    <t>ES0068</t>
  </si>
  <si>
    <t>ES0514</t>
  </si>
  <si>
    <t>ES0452</t>
  </si>
  <si>
    <t>ES0458</t>
  </si>
  <si>
    <t>ES0444</t>
  </si>
  <si>
    <t>ES0378</t>
  </si>
  <si>
    <t>ES0435</t>
  </si>
  <si>
    <t>ES0213</t>
  </si>
  <si>
    <t>ES0417</t>
  </si>
  <si>
    <t>ES0644</t>
  </si>
  <si>
    <t>ES0476</t>
  </si>
  <si>
    <t>ES0160</t>
  </si>
  <si>
    <t>ES0320</t>
  </si>
  <si>
    <t>ES0477</t>
  </si>
  <si>
    <t>ES0338</t>
  </si>
  <si>
    <t>ES0271</t>
  </si>
  <si>
    <t>ES0175</t>
  </si>
  <si>
    <t>ES0092</t>
  </si>
  <si>
    <t>ES0563</t>
  </si>
  <si>
    <t>ES0178</t>
  </si>
  <si>
    <t>ES0449</t>
  </si>
  <si>
    <t>ES0429</t>
  </si>
  <si>
    <t>ES0541</t>
  </si>
  <si>
    <t>ES0173</t>
  </si>
  <si>
    <t>ES0433</t>
  </si>
  <si>
    <t>ES0174</t>
  </si>
  <si>
    <t>ES0565</t>
  </si>
  <si>
    <t>ES0428</t>
  </si>
  <si>
    <t>ES0058</t>
  </si>
  <si>
    <t>ES0221</t>
  </si>
  <si>
    <t>ES0369</t>
  </si>
  <si>
    <t>ES0483</t>
  </si>
  <si>
    <t>ES0381</t>
  </si>
  <si>
    <t>ES0520</t>
  </si>
  <si>
    <t>ES0578</t>
  </si>
  <si>
    <t>ES0013</t>
  </si>
  <si>
    <t>ES0077</t>
  </si>
  <si>
    <t>ES0052</t>
  </si>
  <si>
    <t>ES0082</t>
  </si>
  <si>
    <t>ES0262</t>
  </si>
  <si>
    <t>ES0560</t>
  </si>
  <si>
    <t>ES0396</t>
  </si>
  <si>
    <t>ES0086</t>
  </si>
  <si>
    <t>ES0576</t>
  </si>
  <si>
    <t>ES0071</t>
  </si>
  <si>
    <t>ES0073</t>
  </si>
  <si>
    <t>ES0618</t>
  </si>
  <si>
    <t>ES0062</t>
  </si>
  <si>
    <t>ES0117</t>
  </si>
  <si>
    <t>ES0624</t>
  </si>
  <si>
    <t>ES0150</t>
  </si>
  <si>
    <t>ES0291</t>
  </si>
  <si>
    <t>ES0199</t>
  </si>
  <si>
    <t>ES0498</t>
  </si>
  <si>
    <t>ES0526</t>
  </si>
  <si>
    <t>ES0448</t>
  </si>
  <si>
    <t>ES0112</t>
  </si>
  <si>
    <t>ES0649</t>
  </si>
  <si>
    <t>ES0254</t>
  </si>
  <si>
    <t>ES0193</t>
  </si>
  <si>
    <t>ES0543</t>
  </si>
  <si>
    <t>ES0468</t>
  </si>
  <si>
    <t>ES0081</t>
  </si>
  <si>
    <t>ES0497</t>
  </si>
  <si>
    <t>ES0316</t>
  </si>
  <si>
    <t>ES0504</t>
  </si>
  <si>
    <t>ES0490</t>
  </si>
  <si>
    <t>ES0500</t>
  </si>
  <si>
    <t>ES0226</t>
  </si>
  <si>
    <t>ES0406</t>
  </si>
  <si>
    <t>ES0270</t>
  </si>
  <si>
    <t>ES0599</t>
  </si>
  <si>
    <t>ES0010</t>
  </si>
  <si>
    <t>ES0247</t>
  </si>
  <si>
    <t>ES0180</t>
  </si>
  <si>
    <t>ES0223</t>
  </si>
  <si>
    <t>ES0359</t>
  </si>
  <si>
    <t>ES0595</t>
  </si>
  <si>
    <t>ES0616</t>
  </si>
  <si>
    <t>ES0239</t>
  </si>
  <si>
    <t>ES0049</t>
  </si>
  <si>
    <t>ES0141</t>
  </si>
  <si>
    <t>ES0591</t>
  </si>
  <si>
    <t>ES0450</t>
  </si>
  <si>
    <t>ES0006</t>
  </si>
  <si>
    <t>ES0410</t>
  </si>
  <si>
    <t>ES0628</t>
  </si>
  <si>
    <t>ES0240</t>
  </si>
  <si>
    <t>ES0398</t>
  </si>
  <si>
    <t>ES0546</t>
  </si>
  <si>
    <t>ES0286</t>
  </si>
  <si>
    <t>ES0480</t>
  </si>
  <si>
    <t>ES0321</t>
  </si>
  <si>
    <t>ES0528</t>
  </si>
  <si>
    <t>ES0589</t>
  </si>
  <si>
    <t>ES0548</t>
  </si>
  <si>
    <t>ES0106</t>
  </si>
  <si>
    <t>ES0298</t>
  </si>
  <si>
    <t>ES0133</t>
  </si>
  <si>
    <t>ES0488</t>
  </si>
  <si>
    <t>ES0605</t>
  </si>
  <si>
    <t>ES0139</t>
  </si>
  <si>
    <t>ES0611</t>
  </si>
  <si>
    <t>ES0646</t>
  </si>
  <si>
    <t>ES0103</t>
  </si>
  <si>
    <t>ES0574</t>
  </si>
  <si>
    <t>ES0202</t>
  </si>
  <si>
    <t>ES0309</t>
  </si>
  <si>
    <t>ES0096</t>
  </si>
  <si>
    <t>ES0016</t>
  </si>
  <si>
    <t>ES0011</t>
  </si>
  <si>
    <t>ES0505</t>
  </si>
  <si>
    <t>ES0390</t>
  </si>
  <si>
    <t>ES0422</t>
  </si>
  <si>
    <t>ES0078</t>
  </si>
  <si>
    <t>ES0478</t>
  </si>
  <si>
    <t>ES0389</t>
  </si>
  <si>
    <t>ES0267</t>
  </si>
  <si>
    <t>ES0129</t>
  </si>
  <si>
    <t>ES0290</t>
  </si>
  <si>
    <t>ES0518</t>
  </si>
  <si>
    <t>ES0326</t>
  </si>
  <si>
    <t>ES0107</t>
  </si>
  <si>
    <t>ES0549</t>
  </si>
  <si>
    <t>ES0022</t>
  </si>
  <si>
    <t>ES0623</t>
  </si>
  <si>
    <t>ES0550</t>
  </si>
  <si>
    <t>ES0147</t>
  </si>
  <si>
    <t>ES0196</t>
  </si>
  <si>
    <t>ES0582</t>
  </si>
  <si>
    <t>ES0376</t>
  </si>
  <si>
    <t>ES0559</t>
  </si>
  <si>
    <t>ES0292</t>
  </si>
  <si>
    <t>ES0471</t>
  </si>
  <si>
    <t>ES0230</t>
  </si>
  <si>
    <t>ES0387</t>
  </si>
  <si>
    <t>ES0531</t>
  </si>
  <si>
    <t>ES0042</t>
  </si>
  <si>
    <t>ES0345</t>
  </si>
  <si>
    <t>ES0645</t>
  </si>
  <si>
    <t>ES0440</t>
  </si>
  <si>
    <t>ES0121</t>
  </si>
  <si>
    <t>ES0512</t>
  </si>
  <si>
    <t>ES0414</t>
  </si>
  <si>
    <t>ES0331</t>
  </si>
  <si>
    <t>ES0091</t>
  </si>
  <si>
    <t>ES0276</t>
  </si>
  <si>
    <t>ES0206</t>
  </si>
  <si>
    <t>ES0638</t>
  </si>
  <si>
    <t>ES0423</t>
  </si>
  <si>
    <t>ES0102</t>
  </si>
  <si>
    <t>ES0105</t>
  </si>
  <si>
    <t>ES0153</t>
  </si>
  <si>
    <t>ES0536</t>
  </si>
  <si>
    <t>ES0087</t>
  </si>
  <si>
    <t>ES0220</t>
  </si>
  <si>
    <t>ES0205</t>
  </si>
  <si>
    <t>ES0600</t>
  </si>
  <si>
    <t>ES0019</t>
  </si>
  <si>
    <t>ES0593</t>
  </si>
  <si>
    <t>ES0375</t>
  </si>
  <si>
    <t>ES0484</t>
  </si>
  <si>
    <t>ES0394</t>
  </si>
  <si>
    <t>ES0127</t>
  </si>
  <si>
    <t>ES0491</t>
  </si>
  <si>
    <t>ES0143</t>
  </si>
  <si>
    <t>ES0116</t>
  </si>
  <si>
    <t>ES0625</t>
  </si>
  <si>
    <t>ES0142</t>
  </si>
  <si>
    <t>ES0612</t>
  </si>
  <si>
    <t>ES0350</t>
  </si>
  <si>
    <t>ES0648</t>
  </si>
  <si>
    <t>ES0349</t>
  </si>
  <si>
    <t>ES0028</t>
  </si>
  <si>
    <t>ES0004</t>
  </si>
  <si>
    <t>ES0447</t>
  </si>
  <si>
    <t>ES0333</t>
  </si>
  <si>
    <t>ES0245</t>
  </si>
  <si>
    <t>ES0183</t>
  </si>
  <si>
    <t>ES0122</t>
  </si>
  <si>
    <t>ES0588</t>
  </si>
  <si>
    <t>ES0164</t>
  </si>
  <si>
    <t>ES0598</t>
  </si>
  <si>
    <t>ES0217</t>
  </si>
  <si>
    <t>ES0336</t>
  </si>
  <si>
    <t>ES0615</t>
  </si>
  <si>
    <t>ES0577</t>
  </si>
  <si>
    <t>ES0466</t>
  </si>
  <si>
    <t>ES0017</t>
  </si>
  <si>
    <t>ES0430</t>
  </si>
  <si>
    <t>ES0195</t>
  </si>
  <si>
    <t>ES0517</t>
  </si>
  <si>
    <t>ES0412</t>
  </si>
  <si>
    <t>ES0571</t>
  </si>
  <si>
    <t>ES0640</t>
  </si>
  <si>
    <t>ES0012</t>
  </si>
  <si>
    <t>ES0383</t>
  </si>
  <si>
    <t>ES0303</t>
  </si>
  <si>
    <t>ES0438</t>
  </si>
  <si>
    <t>ES0503</t>
  </si>
  <si>
    <t>ES0061</t>
  </si>
  <si>
    <t>ES0395</t>
  </si>
  <si>
    <t>ES0041</t>
  </si>
  <si>
    <t>ES0279</t>
  </si>
  <si>
    <t>ES0231</t>
  </si>
  <si>
    <t>ES0203</t>
  </si>
  <si>
    <t>ES0088</t>
  </si>
  <si>
    <t>ES0388</t>
  </si>
  <si>
    <t>ES0259</t>
  </si>
  <si>
    <t>ES0260</t>
  </si>
  <si>
    <t>ES0209</t>
  </si>
  <si>
    <t>ES0553</t>
  </si>
  <si>
    <t>ES0145</t>
  </si>
  <si>
    <t>ES0151</t>
  </si>
  <si>
    <t>ES0056</t>
  </si>
  <si>
    <t>ES0485</t>
  </si>
  <si>
    <t>ES0397</t>
  </si>
  <si>
    <t>ES0564</t>
  </si>
  <si>
    <t>ES0544</t>
  </si>
  <si>
    <t>ES0148</t>
  </si>
  <si>
    <t>ES0197</t>
  </si>
  <si>
    <t>ES0225</t>
  </si>
  <si>
    <t>ES0373</t>
  </si>
  <si>
    <t>ES0070</t>
  </si>
  <si>
    <t>ES0489</t>
  </si>
  <si>
    <t>ES0402</t>
  </si>
  <si>
    <t>ES0030</t>
  </si>
  <si>
    <t>ES0363</t>
  </si>
  <si>
    <t>ES0222</t>
  </si>
  <si>
    <t>ES0639</t>
  </si>
  <si>
    <t>ES0456</t>
  </si>
  <si>
    <t>ES0411</t>
  </si>
  <si>
    <t>ES0641</t>
  </si>
  <si>
    <t>ES0405</t>
  </si>
  <si>
    <t>ES0346</t>
  </si>
  <si>
    <t>ES0509</t>
  </si>
  <si>
    <t>ES0421</t>
  </si>
  <si>
    <t>ES0138</t>
  </si>
  <si>
    <t>ES0453</t>
  </si>
  <si>
    <t>ES0251</t>
  </si>
  <si>
    <t>ES0095</t>
  </si>
  <si>
    <t>ES0232</t>
  </si>
  <si>
    <t>ES0367</t>
  </si>
  <si>
    <t>ES0189</t>
  </si>
  <si>
    <t>ES0110</t>
  </si>
  <si>
    <t>ES0317</t>
  </si>
  <si>
    <t>ES0099</t>
  </si>
  <si>
    <t>ES0168</t>
  </si>
  <si>
    <t>ES0031</t>
  </si>
  <si>
    <t>ES0288</t>
  </si>
  <si>
    <t>ES0361</t>
  </si>
  <si>
    <t>ES0177</t>
  </si>
  <si>
    <t>ES0314</t>
  </si>
  <si>
    <t>ES0318</t>
  </si>
  <si>
    <t>ES0244</t>
  </si>
  <si>
    <t>ES0386</t>
  </si>
  <si>
    <t>ES0637</t>
  </si>
  <si>
    <t>ES0603</t>
  </si>
  <si>
    <t>ES0601</t>
  </si>
  <si>
    <t>ES0074</t>
  </si>
  <si>
    <t>ES0630</t>
  </si>
  <si>
    <t>ES0188</t>
  </si>
  <si>
    <t>ES0284</t>
  </si>
  <si>
    <t>ES0037</t>
  </si>
  <si>
    <t>ES0542</t>
  </si>
  <si>
    <t>ES0243</t>
  </si>
  <si>
    <t>ES0534</t>
  </si>
  <si>
    <t>ES0530</t>
  </si>
  <si>
    <t>ES0255</t>
  </si>
  <si>
    <t>ES0224</t>
  </si>
  <si>
    <t>ES0140</t>
  </si>
  <si>
    <t>ES0391</t>
  </si>
  <si>
    <t>ES0523</t>
  </si>
  <si>
    <t>ES0273</t>
  </si>
  <si>
    <t>ES0152</t>
  </si>
  <si>
    <t>ES0343</t>
  </si>
  <si>
    <t>ES0307</t>
  </si>
  <si>
    <t>ES0094</t>
  </si>
  <si>
    <t>ES0236</t>
  </si>
  <si>
    <t>ES0579</t>
  </si>
  <si>
    <t>ES0083</t>
  </si>
  <si>
    <t>ES0620</t>
  </si>
  <si>
    <t>ES0089</t>
  </si>
  <si>
    <t>ES0353</t>
  </si>
  <si>
    <t>ES0039</t>
  </si>
  <si>
    <t>ES0352</t>
  </si>
  <si>
    <t>ES0035</t>
  </si>
  <si>
    <t>ES0315</t>
  </si>
  <si>
    <t>ES0416</t>
  </si>
  <si>
    <t>ES0455</t>
  </si>
  <si>
    <t>ES0119</t>
  </si>
  <si>
    <t>ES0552</t>
  </si>
  <si>
    <t>ES0499</t>
  </si>
  <si>
    <t>ES0437</t>
  </si>
  <si>
    <t>ES0294</t>
  </si>
  <si>
    <t>ES0063</t>
  </si>
  <si>
    <t>ES0403</t>
  </si>
  <si>
    <t>ES0155</t>
  </si>
  <si>
    <t>ES0358</t>
  </si>
  <si>
    <t>ES0059</t>
  </si>
  <si>
    <t>ES0633</t>
  </si>
  <si>
    <t>ES0580</t>
  </si>
  <si>
    <t>ES0474</t>
  </si>
  <si>
    <t>ES0311</t>
  </si>
  <si>
    <t>ES0513</t>
  </si>
  <si>
    <t>ES0023</t>
  </si>
  <si>
    <t>ES0557</t>
  </si>
  <si>
    <t>ES0057</t>
  </si>
  <si>
    <t>ES0306</t>
  </si>
  <si>
    <t>ES0636</t>
  </si>
  <si>
    <t>ES0277</t>
  </si>
  <si>
    <t>ES0114</t>
  </si>
  <si>
    <t>ES0182</t>
  </si>
  <si>
    <t>ES0120</t>
  </si>
  <si>
    <t>ES0419</t>
  </si>
  <si>
    <t>ES0040</t>
  </si>
  <si>
    <t>ES0170</t>
  </si>
  <si>
    <t>ES0136</t>
  </si>
  <si>
    <t>ES0218</t>
  </si>
  <si>
    <t>ES0015</t>
  </si>
  <si>
    <t>ES0354</t>
  </si>
  <si>
    <t>ES0053</t>
  </si>
  <si>
    <t>ES0446</t>
  </si>
  <si>
    <t>ES0242</t>
  </si>
  <si>
    <t>ES0179</t>
  </si>
  <si>
    <t>ES0407</t>
  </si>
  <si>
    <t>ES0573</t>
  </si>
  <si>
    <t>ES0323</t>
  </si>
  <si>
    <t>ES0344</t>
  </si>
  <si>
    <t>ES0014</t>
  </si>
  <si>
    <t>ES0418</t>
  </si>
  <si>
    <t>ES0464</t>
  </si>
  <si>
    <t>ES0569</t>
  </si>
  <si>
    <t>ES0635</t>
  </si>
  <si>
    <t>ES0460</t>
  </si>
  <si>
    <t>ES0341</t>
  </si>
  <si>
    <t>ES0167</t>
  </si>
  <si>
    <t>ES0409</t>
  </si>
  <si>
    <t>ES0508</t>
  </si>
  <si>
    <t>ES0532</t>
  </si>
  <si>
    <t>ES0479</t>
  </si>
  <si>
    <t>ES0572</t>
  </si>
  <si>
    <t>ES0486</t>
  </si>
  <si>
    <t>ES0535</t>
  </si>
  <si>
    <t>ES0519</t>
  </si>
  <si>
    <t>ES0496</t>
  </si>
  <si>
    <t>ES0034</t>
  </si>
  <si>
    <t>ES0018</t>
  </si>
  <si>
    <t>ES0312</t>
  </si>
  <si>
    <t>ES0299</t>
  </si>
  <si>
    <t>ES0570</t>
  </si>
  <si>
    <t>ES0647</t>
  </si>
  <si>
    <t>ES0101</t>
  </si>
  <si>
    <t>ES0211</t>
  </si>
  <si>
    <t>ES0060</t>
  </si>
  <si>
    <t>ES0003</t>
  </si>
  <si>
    <t>ES0622</t>
  </si>
  <si>
    <t>ES0208</t>
  </si>
  <si>
    <t>ES0207</t>
  </si>
  <si>
    <t>ES0024</t>
  </si>
  <si>
    <t>ES0172</t>
  </si>
  <si>
    <t>ES0631</t>
  </si>
  <si>
    <t>ES0329</t>
  </si>
  <si>
    <t>ES0080</t>
  </si>
  <si>
    <t>ES0609</t>
  </si>
  <si>
    <t>ES0334</t>
  </si>
  <si>
    <t>ES0337</t>
  </si>
  <si>
    <t>ES0481</t>
  </si>
  <si>
    <t>ES0051</t>
  </si>
  <si>
    <t>ES0587</t>
  </si>
  <si>
    <t>ES0186</t>
  </si>
  <si>
    <t>ES0607</t>
  </si>
  <si>
    <t>ES0457</t>
  </si>
  <si>
    <t>ES0007</t>
  </si>
  <si>
    <t>ES0278</t>
  </si>
  <si>
    <t>ES0365</t>
  </si>
  <si>
    <t>ES0493</t>
  </si>
  <si>
    <t>ES0322</t>
  </si>
  <si>
    <t>ES0462</t>
  </si>
  <si>
    <t>ES0246</t>
  </si>
  <si>
    <t>ES0370</t>
  </si>
  <si>
    <t>ES0327</t>
  </si>
  <si>
    <t>ES0377</t>
  </si>
  <si>
    <t>ES0258</t>
  </si>
  <si>
    <t>ES0216</t>
  </si>
  <si>
    <t>ES0554</t>
  </si>
  <si>
    <t>ES0072</t>
  </si>
  <si>
    <t>ES0596</t>
  </si>
  <si>
    <t>ES0506</t>
  </si>
  <si>
    <t>ES0525</t>
  </si>
  <si>
    <t>ES0274</t>
  </si>
  <si>
    <t>ES0610</t>
  </si>
  <si>
    <t>ES0347</t>
  </si>
  <si>
    <t>ES0561</t>
  </si>
  <si>
    <t>ES0134</t>
  </si>
  <si>
    <t>ES0465</t>
  </si>
  <si>
    <t>ES0047</t>
  </si>
  <si>
    <t>ES0249</t>
  </si>
  <si>
    <t>ES0020</t>
  </si>
  <si>
    <t>ES0501</t>
  </si>
  <si>
    <t>ES0093</t>
  </si>
  <si>
    <t>ES0025</t>
  </si>
  <si>
    <t>ES0575</t>
  </si>
  <si>
    <t>ES0123</t>
  </si>
  <si>
    <t>ES0619</t>
  </si>
  <si>
    <t>ES0293</t>
  </si>
  <si>
    <t>ES0443</t>
  </si>
  <si>
    <t>ES0585</t>
  </si>
  <si>
    <t>ES0461</t>
  </si>
  <si>
    <t>ES0436</t>
  </si>
  <si>
    <t>ES0445</t>
  </si>
  <si>
    <t>ES0507</t>
  </si>
  <si>
    <t>ES0131</t>
  </si>
  <si>
    <t>Independent</t>
  </si>
  <si>
    <t>Study time</t>
  </si>
  <si>
    <t>Dependent</t>
  </si>
  <si>
    <t>Data was reduced to 300 rows using the RAND() function.</t>
  </si>
  <si>
    <t>Reduced the amount of columns from 16 to 8.</t>
  </si>
  <si>
    <t>Row Labels</t>
  </si>
  <si>
    <t>Count of Extracurriculars</t>
  </si>
  <si>
    <t>Grand Total</t>
  </si>
  <si>
    <t>Count of School Support</t>
  </si>
  <si>
    <t>Count of College</t>
  </si>
  <si>
    <t>Mean</t>
  </si>
  <si>
    <t>Standard Error</t>
  </si>
  <si>
    <t>Median</t>
  </si>
  <si>
    <t>Mode</t>
  </si>
  <si>
    <t>Standard Deviation</t>
  </si>
  <si>
    <t>Sample Variance</t>
  </si>
  <si>
    <t>Kurtosis</t>
  </si>
  <si>
    <t>Skewness</t>
  </si>
  <si>
    <t>Range</t>
  </si>
  <si>
    <t>Minimum</t>
  </si>
  <si>
    <t>Maximum</t>
  </si>
  <si>
    <t>Sum</t>
  </si>
  <si>
    <t>Count</t>
  </si>
  <si>
    <t>Confidence Level(95.0%)</t>
  </si>
  <si>
    <t>Count of Failures</t>
  </si>
  <si>
    <t>Count of Absences</t>
  </si>
  <si>
    <t>t-Test: Two-Sample Assuming Unequal Variances</t>
  </si>
  <si>
    <t>Variance</t>
  </si>
  <si>
    <t>Observations</t>
  </si>
  <si>
    <t>Hypothesized Mean Difference</t>
  </si>
  <si>
    <t>df</t>
  </si>
  <si>
    <t>t Stat</t>
  </si>
  <si>
    <t>P(T&lt;=t) one-tail</t>
  </si>
  <si>
    <t>t Critical one-tail</t>
  </si>
  <si>
    <t>P(T&lt;=t) two-tail</t>
  </si>
  <si>
    <t>t Critical two-tail</t>
  </si>
  <si>
    <t>SUMMARY OUTPUT</t>
  </si>
  <si>
    <t>Regression Statistics</t>
  </si>
  <si>
    <t>Multiple R</t>
  </si>
  <si>
    <t>R Square</t>
  </si>
  <si>
    <t>Adjusted R Square</t>
  </si>
  <si>
    <t>ANOVA</t>
  </si>
  <si>
    <t>SS</t>
  </si>
  <si>
    <t>F</t>
  </si>
  <si>
    <t>Regression</t>
  </si>
  <si>
    <t>Residual</t>
  </si>
  <si>
    <t>Total</t>
  </si>
  <si>
    <t>Coefficients</t>
  </si>
  <si>
    <t>P-value</t>
  </si>
  <si>
    <t>Upper 95%</t>
  </si>
  <si>
    <t>Lower 95.0%</t>
  </si>
  <si>
    <t>Upper 95.0%</t>
  </si>
  <si>
    <t>Intercept</t>
  </si>
  <si>
    <t>Column1</t>
  </si>
  <si>
    <t xml:space="preserve">Variables </t>
  </si>
  <si>
    <t>R Squared</t>
  </si>
  <si>
    <t>VIF</t>
  </si>
  <si>
    <t>Significance F</t>
  </si>
  <si>
    <t>Lower 95%</t>
  </si>
  <si>
    <t>RESIDUAL OUTPUT</t>
  </si>
  <si>
    <t>Observation</t>
  </si>
  <si>
    <t>Predicted Grade</t>
  </si>
  <si>
    <t>Residuals</t>
  </si>
  <si>
    <t>Standard Residuals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</si>
</sst>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8"/>
      <name val="Aptos Narrow"/>
      <family val="2"/>
      <scheme val="minor"/>
    </font>
    <font>
      <b/>
      <sz val="12"/>
      <color theme="1"/>
      <name val="Aptos Narrow"/>
      <family val="2"/>
      <scheme val="minor"/>
    </font>
    <font>
      <i/>
      <sz val="12"/>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C00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19" fillId="0" borderId="0" xfId="0" applyFont="1"/>
    <xf numFmtId="0" fontId="0" fillId="0" borderId="0" xfId="0" pivotButton="1"/>
    <xf numFmtId="0" fontId="0" fillId="0" borderId="0" xfId="0" applyAlignment="1">
      <alignment horizontal="left"/>
    </xf>
    <xf numFmtId="0" fontId="0" fillId="0" borderId="11" xfId="0" applyBorder="1"/>
    <xf numFmtId="0" fontId="20" fillId="0" borderId="12" xfId="0" applyFont="1" applyBorder="1" applyAlignment="1">
      <alignment horizontal="centerContinuous"/>
    </xf>
    <xf numFmtId="0" fontId="16" fillId="0" borderId="0" xfId="0" applyFont="1"/>
    <xf numFmtId="0" fontId="20" fillId="0" borderId="12" xfId="0" applyFont="1" applyBorder="1" applyAlignment="1">
      <alignment horizontal="center"/>
    </xf>
    <xf numFmtId="0" fontId="16" fillId="0" borderId="10" xfId="0" applyFont="1" applyBorder="1"/>
    <xf numFmtId="0" fontId="16" fillId="33" borderId="0" xfId="0" applyFont="1" applyFill="1"/>
    <xf numFmtId="0" fontId="0" fillId="34" borderId="0" xfId="0" applyFill="1"/>
    <xf numFmtId="0" fontId="14" fillId="34" borderId="0" xfId="0" applyFont="1" applyFill="1"/>
    <xf numFmtId="0" fontId="20" fillId="0" borderId="13" xfId="0" applyFont="1" applyBorder="1" applyAlignment="1">
      <alignment horizontal="centerContinuous"/>
    </xf>
    <xf numFmtId="0" fontId="1" fillId="0" borderId="0" xfId="0" applyFont="1"/>
    <xf numFmtId="0" fontId="16"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color rgb="FF9C0006"/>
      </font>
      <fill>
        <patternFill>
          <bgColor rgb="FFFFC7CE"/>
        </patternFill>
      </fill>
    </dxf>
    <dxf>
      <border outline="0">
        <top style="medium">
          <color indexed="64"/>
        </top>
        <bottom style="medium">
          <color indexed="64"/>
        </bottom>
      </border>
    </dxf>
    <dxf>
      <border outline="0">
        <bottom style="thin">
          <color indexed="64"/>
        </bottom>
      </border>
    </dxf>
    <dxf>
      <font>
        <b val="0"/>
        <i/>
        <strike val="0"/>
        <condense val="0"/>
        <extend val="0"/>
        <outline val="0"/>
        <shadow val="0"/>
        <u val="none"/>
        <vertAlign val="baseline"/>
        <sz val="12"/>
        <color theme="1"/>
        <name val="Aptos Narrow"/>
        <family val="2"/>
        <scheme val="minor"/>
      </font>
      <alignment horizontal="centerContinuous"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Study</a:t>
            </a:r>
            <a:r>
              <a:rPr lang="en-US" baseline="0"/>
              <a:t> Time x Final Grade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'Edited Data'!$H$1</c:f>
              <c:strCache>
                <c:ptCount val="1"/>
                <c:pt idx="0">
                  <c:v>Grade</c:v>
                </c:pt>
              </c:strCache>
            </c:strRef>
          </c:tx>
          <c:spPr>
            <a:ln w="38100" cap="rnd">
              <a:noFill/>
              <a:round/>
            </a:ln>
            <a:effectLst/>
          </c:spPr>
          <c:marker>
            <c:symbol val="circle"/>
            <c:size val="5"/>
            <c:spPr>
              <a:solidFill>
                <a:schemeClr val="accent1"/>
              </a:solidFill>
              <a:ln w="9525">
                <a:solidFill>
                  <a:schemeClr val="accent1"/>
                </a:solidFill>
              </a:ln>
              <a:effectLst/>
            </c:spPr>
          </c:marker>
          <c:xVal>
            <c:numRef>
              <c:f>'Edited Data'!$C$2:$C$300</c:f>
              <c:numCache>
                <c:formatCode>General</c:formatCode>
                <c:ptCount val="299"/>
                <c:pt idx="0">
                  <c:v>2.75</c:v>
                </c:pt>
                <c:pt idx="1">
                  <c:v>3.75</c:v>
                </c:pt>
                <c:pt idx="2">
                  <c:v>0.25</c:v>
                </c:pt>
                <c:pt idx="3">
                  <c:v>2.75</c:v>
                </c:pt>
                <c:pt idx="4">
                  <c:v>0.25</c:v>
                </c:pt>
                <c:pt idx="5">
                  <c:v>3.75</c:v>
                </c:pt>
                <c:pt idx="6">
                  <c:v>7.25</c:v>
                </c:pt>
                <c:pt idx="7">
                  <c:v>4</c:v>
                </c:pt>
                <c:pt idx="8">
                  <c:v>3</c:v>
                </c:pt>
                <c:pt idx="9">
                  <c:v>12.75</c:v>
                </c:pt>
                <c:pt idx="10">
                  <c:v>3.25</c:v>
                </c:pt>
                <c:pt idx="11">
                  <c:v>2.5</c:v>
                </c:pt>
                <c:pt idx="12">
                  <c:v>0.25</c:v>
                </c:pt>
                <c:pt idx="13">
                  <c:v>4.75</c:v>
                </c:pt>
                <c:pt idx="14">
                  <c:v>3</c:v>
                </c:pt>
                <c:pt idx="15">
                  <c:v>14.25</c:v>
                </c:pt>
                <c:pt idx="16">
                  <c:v>3.5</c:v>
                </c:pt>
                <c:pt idx="17">
                  <c:v>2.5</c:v>
                </c:pt>
                <c:pt idx="18">
                  <c:v>1.25</c:v>
                </c:pt>
                <c:pt idx="19">
                  <c:v>1.25</c:v>
                </c:pt>
                <c:pt idx="20">
                  <c:v>2.25</c:v>
                </c:pt>
                <c:pt idx="21">
                  <c:v>4.25</c:v>
                </c:pt>
                <c:pt idx="22">
                  <c:v>3.75</c:v>
                </c:pt>
                <c:pt idx="23">
                  <c:v>1.5</c:v>
                </c:pt>
                <c:pt idx="24">
                  <c:v>4</c:v>
                </c:pt>
                <c:pt idx="25">
                  <c:v>3.75</c:v>
                </c:pt>
                <c:pt idx="26">
                  <c:v>0.75</c:v>
                </c:pt>
                <c:pt idx="27">
                  <c:v>11.75</c:v>
                </c:pt>
                <c:pt idx="28">
                  <c:v>6</c:v>
                </c:pt>
                <c:pt idx="29">
                  <c:v>2</c:v>
                </c:pt>
                <c:pt idx="30">
                  <c:v>4.5</c:v>
                </c:pt>
                <c:pt idx="31">
                  <c:v>3.5</c:v>
                </c:pt>
                <c:pt idx="32">
                  <c:v>1.25</c:v>
                </c:pt>
                <c:pt idx="33">
                  <c:v>2.5</c:v>
                </c:pt>
                <c:pt idx="34">
                  <c:v>4.25</c:v>
                </c:pt>
                <c:pt idx="35">
                  <c:v>2.75</c:v>
                </c:pt>
                <c:pt idx="36">
                  <c:v>6.5</c:v>
                </c:pt>
                <c:pt idx="37">
                  <c:v>3.5</c:v>
                </c:pt>
                <c:pt idx="38">
                  <c:v>0.5</c:v>
                </c:pt>
                <c:pt idx="39">
                  <c:v>0</c:v>
                </c:pt>
                <c:pt idx="40">
                  <c:v>0</c:v>
                </c:pt>
                <c:pt idx="41">
                  <c:v>8.5</c:v>
                </c:pt>
                <c:pt idx="42">
                  <c:v>8.5</c:v>
                </c:pt>
                <c:pt idx="43">
                  <c:v>3</c:v>
                </c:pt>
                <c:pt idx="44">
                  <c:v>0</c:v>
                </c:pt>
                <c:pt idx="45">
                  <c:v>2.25</c:v>
                </c:pt>
                <c:pt idx="46">
                  <c:v>3</c:v>
                </c:pt>
                <c:pt idx="47">
                  <c:v>9.75</c:v>
                </c:pt>
                <c:pt idx="48">
                  <c:v>2.5</c:v>
                </c:pt>
                <c:pt idx="49">
                  <c:v>4</c:v>
                </c:pt>
                <c:pt idx="50">
                  <c:v>0.5</c:v>
                </c:pt>
                <c:pt idx="51">
                  <c:v>0</c:v>
                </c:pt>
                <c:pt idx="52">
                  <c:v>8.25</c:v>
                </c:pt>
                <c:pt idx="53">
                  <c:v>0.25</c:v>
                </c:pt>
                <c:pt idx="54">
                  <c:v>8.75</c:v>
                </c:pt>
                <c:pt idx="55">
                  <c:v>0.75</c:v>
                </c:pt>
                <c:pt idx="56">
                  <c:v>3</c:v>
                </c:pt>
                <c:pt idx="57">
                  <c:v>0</c:v>
                </c:pt>
                <c:pt idx="58">
                  <c:v>5.75</c:v>
                </c:pt>
                <c:pt idx="59">
                  <c:v>2.5</c:v>
                </c:pt>
                <c:pt idx="60">
                  <c:v>0.5</c:v>
                </c:pt>
                <c:pt idx="61">
                  <c:v>0.5</c:v>
                </c:pt>
                <c:pt idx="62">
                  <c:v>3.5</c:v>
                </c:pt>
                <c:pt idx="63">
                  <c:v>4.25</c:v>
                </c:pt>
                <c:pt idx="64">
                  <c:v>2.25</c:v>
                </c:pt>
                <c:pt idx="65">
                  <c:v>1</c:v>
                </c:pt>
                <c:pt idx="66">
                  <c:v>1.25</c:v>
                </c:pt>
                <c:pt idx="67">
                  <c:v>1.5</c:v>
                </c:pt>
                <c:pt idx="68">
                  <c:v>11</c:v>
                </c:pt>
                <c:pt idx="69">
                  <c:v>0.25</c:v>
                </c:pt>
                <c:pt idx="70">
                  <c:v>3.25</c:v>
                </c:pt>
                <c:pt idx="71">
                  <c:v>4.25</c:v>
                </c:pt>
                <c:pt idx="72">
                  <c:v>3.25</c:v>
                </c:pt>
                <c:pt idx="73">
                  <c:v>2.25</c:v>
                </c:pt>
                <c:pt idx="74">
                  <c:v>2</c:v>
                </c:pt>
                <c:pt idx="75">
                  <c:v>1.5</c:v>
                </c:pt>
                <c:pt idx="76">
                  <c:v>5.5</c:v>
                </c:pt>
                <c:pt idx="77">
                  <c:v>3.25</c:v>
                </c:pt>
                <c:pt idx="78">
                  <c:v>4.75</c:v>
                </c:pt>
                <c:pt idx="79">
                  <c:v>0.5</c:v>
                </c:pt>
                <c:pt idx="80">
                  <c:v>2.75</c:v>
                </c:pt>
                <c:pt idx="81">
                  <c:v>5.75</c:v>
                </c:pt>
                <c:pt idx="82">
                  <c:v>1.25</c:v>
                </c:pt>
                <c:pt idx="83">
                  <c:v>3.75</c:v>
                </c:pt>
                <c:pt idx="84">
                  <c:v>2.5</c:v>
                </c:pt>
                <c:pt idx="85">
                  <c:v>3.5</c:v>
                </c:pt>
                <c:pt idx="86">
                  <c:v>9.75</c:v>
                </c:pt>
                <c:pt idx="87">
                  <c:v>0.25</c:v>
                </c:pt>
                <c:pt idx="88">
                  <c:v>3.75</c:v>
                </c:pt>
                <c:pt idx="89">
                  <c:v>1.5</c:v>
                </c:pt>
                <c:pt idx="90">
                  <c:v>14.25</c:v>
                </c:pt>
                <c:pt idx="91">
                  <c:v>2.25</c:v>
                </c:pt>
                <c:pt idx="92">
                  <c:v>3.75</c:v>
                </c:pt>
                <c:pt idx="93">
                  <c:v>4.25</c:v>
                </c:pt>
                <c:pt idx="94">
                  <c:v>4</c:v>
                </c:pt>
                <c:pt idx="95">
                  <c:v>7.5</c:v>
                </c:pt>
                <c:pt idx="96">
                  <c:v>0.75</c:v>
                </c:pt>
                <c:pt idx="97">
                  <c:v>9</c:v>
                </c:pt>
                <c:pt idx="98">
                  <c:v>0.25</c:v>
                </c:pt>
                <c:pt idx="99">
                  <c:v>2.25</c:v>
                </c:pt>
                <c:pt idx="100">
                  <c:v>3</c:v>
                </c:pt>
                <c:pt idx="101">
                  <c:v>6.25</c:v>
                </c:pt>
                <c:pt idx="102">
                  <c:v>0</c:v>
                </c:pt>
                <c:pt idx="103">
                  <c:v>1.25</c:v>
                </c:pt>
                <c:pt idx="104">
                  <c:v>1</c:v>
                </c:pt>
                <c:pt idx="105">
                  <c:v>0.5</c:v>
                </c:pt>
                <c:pt idx="106">
                  <c:v>0.5</c:v>
                </c:pt>
                <c:pt idx="107">
                  <c:v>8.75</c:v>
                </c:pt>
                <c:pt idx="108">
                  <c:v>1</c:v>
                </c:pt>
                <c:pt idx="109">
                  <c:v>0.75</c:v>
                </c:pt>
                <c:pt idx="110">
                  <c:v>4</c:v>
                </c:pt>
                <c:pt idx="111">
                  <c:v>10</c:v>
                </c:pt>
                <c:pt idx="112">
                  <c:v>6</c:v>
                </c:pt>
                <c:pt idx="113">
                  <c:v>3.25</c:v>
                </c:pt>
                <c:pt idx="114">
                  <c:v>0.25</c:v>
                </c:pt>
                <c:pt idx="115">
                  <c:v>1.75</c:v>
                </c:pt>
                <c:pt idx="116">
                  <c:v>5.5</c:v>
                </c:pt>
                <c:pt idx="117">
                  <c:v>2.75</c:v>
                </c:pt>
                <c:pt idx="118">
                  <c:v>0.75</c:v>
                </c:pt>
                <c:pt idx="119">
                  <c:v>3.5</c:v>
                </c:pt>
                <c:pt idx="120">
                  <c:v>7.5</c:v>
                </c:pt>
                <c:pt idx="121">
                  <c:v>1.25</c:v>
                </c:pt>
                <c:pt idx="122">
                  <c:v>2.5</c:v>
                </c:pt>
                <c:pt idx="123">
                  <c:v>2</c:v>
                </c:pt>
                <c:pt idx="124">
                  <c:v>13</c:v>
                </c:pt>
                <c:pt idx="125">
                  <c:v>4.75</c:v>
                </c:pt>
                <c:pt idx="126">
                  <c:v>0</c:v>
                </c:pt>
                <c:pt idx="127">
                  <c:v>2.5</c:v>
                </c:pt>
                <c:pt idx="128">
                  <c:v>1.5</c:v>
                </c:pt>
                <c:pt idx="129">
                  <c:v>1</c:v>
                </c:pt>
                <c:pt idx="130">
                  <c:v>11.5</c:v>
                </c:pt>
                <c:pt idx="131">
                  <c:v>4.5</c:v>
                </c:pt>
                <c:pt idx="132">
                  <c:v>2.25</c:v>
                </c:pt>
                <c:pt idx="133">
                  <c:v>4.25</c:v>
                </c:pt>
                <c:pt idx="134">
                  <c:v>3</c:v>
                </c:pt>
                <c:pt idx="135">
                  <c:v>1.75</c:v>
                </c:pt>
                <c:pt idx="136">
                  <c:v>6.75</c:v>
                </c:pt>
                <c:pt idx="137">
                  <c:v>8.5</c:v>
                </c:pt>
                <c:pt idx="138">
                  <c:v>3.5</c:v>
                </c:pt>
                <c:pt idx="139">
                  <c:v>0.75</c:v>
                </c:pt>
                <c:pt idx="140">
                  <c:v>2</c:v>
                </c:pt>
                <c:pt idx="141">
                  <c:v>4</c:v>
                </c:pt>
                <c:pt idx="142">
                  <c:v>1.25</c:v>
                </c:pt>
                <c:pt idx="143">
                  <c:v>1</c:v>
                </c:pt>
                <c:pt idx="144">
                  <c:v>2</c:v>
                </c:pt>
                <c:pt idx="145">
                  <c:v>0</c:v>
                </c:pt>
                <c:pt idx="146">
                  <c:v>0.5</c:v>
                </c:pt>
                <c:pt idx="147">
                  <c:v>4</c:v>
                </c:pt>
                <c:pt idx="148">
                  <c:v>0</c:v>
                </c:pt>
                <c:pt idx="149">
                  <c:v>4</c:v>
                </c:pt>
                <c:pt idx="150">
                  <c:v>4.75</c:v>
                </c:pt>
                <c:pt idx="151">
                  <c:v>1.25</c:v>
                </c:pt>
                <c:pt idx="152">
                  <c:v>2</c:v>
                </c:pt>
                <c:pt idx="153">
                  <c:v>4.75</c:v>
                </c:pt>
                <c:pt idx="154">
                  <c:v>1.25</c:v>
                </c:pt>
                <c:pt idx="155">
                  <c:v>0.25</c:v>
                </c:pt>
                <c:pt idx="156">
                  <c:v>4.5</c:v>
                </c:pt>
                <c:pt idx="157">
                  <c:v>8.5</c:v>
                </c:pt>
                <c:pt idx="158">
                  <c:v>14.75</c:v>
                </c:pt>
                <c:pt idx="159">
                  <c:v>0.75</c:v>
                </c:pt>
                <c:pt idx="160">
                  <c:v>0.5</c:v>
                </c:pt>
                <c:pt idx="161">
                  <c:v>3</c:v>
                </c:pt>
                <c:pt idx="162">
                  <c:v>0.75</c:v>
                </c:pt>
                <c:pt idx="163">
                  <c:v>4.25</c:v>
                </c:pt>
                <c:pt idx="164">
                  <c:v>8.25</c:v>
                </c:pt>
                <c:pt idx="165">
                  <c:v>0.5</c:v>
                </c:pt>
                <c:pt idx="166">
                  <c:v>0.75</c:v>
                </c:pt>
                <c:pt idx="167">
                  <c:v>4.25</c:v>
                </c:pt>
                <c:pt idx="168">
                  <c:v>0.75</c:v>
                </c:pt>
                <c:pt idx="169">
                  <c:v>9.25</c:v>
                </c:pt>
                <c:pt idx="170">
                  <c:v>2.25</c:v>
                </c:pt>
                <c:pt idx="171">
                  <c:v>0</c:v>
                </c:pt>
                <c:pt idx="172">
                  <c:v>9.5</c:v>
                </c:pt>
                <c:pt idx="173">
                  <c:v>10.25</c:v>
                </c:pt>
                <c:pt idx="174">
                  <c:v>10.75</c:v>
                </c:pt>
                <c:pt idx="175">
                  <c:v>0.75</c:v>
                </c:pt>
                <c:pt idx="176">
                  <c:v>7.75</c:v>
                </c:pt>
                <c:pt idx="177">
                  <c:v>1</c:v>
                </c:pt>
                <c:pt idx="178">
                  <c:v>2.75</c:v>
                </c:pt>
                <c:pt idx="179">
                  <c:v>1</c:v>
                </c:pt>
                <c:pt idx="180">
                  <c:v>3.25</c:v>
                </c:pt>
                <c:pt idx="181">
                  <c:v>15</c:v>
                </c:pt>
                <c:pt idx="182">
                  <c:v>2.75</c:v>
                </c:pt>
                <c:pt idx="183">
                  <c:v>3.25</c:v>
                </c:pt>
                <c:pt idx="184">
                  <c:v>8</c:v>
                </c:pt>
                <c:pt idx="185">
                  <c:v>2.5</c:v>
                </c:pt>
                <c:pt idx="186">
                  <c:v>0.5</c:v>
                </c:pt>
                <c:pt idx="187">
                  <c:v>3.5</c:v>
                </c:pt>
                <c:pt idx="188">
                  <c:v>4.25</c:v>
                </c:pt>
                <c:pt idx="189">
                  <c:v>1</c:v>
                </c:pt>
                <c:pt idx="190">
                  <c:v>4</c:v>
                </c:pt>
                <c:pt idx="191">
                  <c:v>3.75</c:v>
                </c:pt>
                <c:pt idx="192">
                  <c:v>0.25</c:v>
                </c:pt>
                <c:pt idx="193">
                  <c:v>1.75</c:v>
                </c:pt>
                <c:pt idx="194">
                  <c:v>4.25</c:v>
                </c:pt>
                <c:pt idx="195">
                  <c:v>3.75</c:v>
                </c:pt>
                <c:pt idx="196">
                  <c:v>5.25</c:v>
                </c:pt>
                <c:pt idx="197">
                  <c:v>4.75</c:v>
                </c:pt>
                <c:pt idx="198">
                  <c:v>4</c:v>
                </c:pt>
                <c:pt idx="199">
                  <c:v>1.75</c:v>
                </c:pt>
                <c:pt idx="200">
                  <c:v>6.75</c:v>
                </c:pt>
                <c:pt idx="201">
                  <c:v>1.5</c:v>
                </c:pt>
                <c:pt idx="202">
                  <c:v>3</c:v>
                </c:pt>
                <c:pt idx="203">
                  <c:v>1.75</c:v>
                </c:pt>
                <c:pt idx="204">
                  <c:v>4.5</c:v>
                </c:pt>
                <c:pt idx="205">
                  <c:v>9.5</c:v>
                </c:pt>
                <c:pt idx="206">
                  <c:v>3.25</c:v>
                </c:pt>
                <c:pt idx="207">
                  <c:v>1.5</c:v>
                </c:pt>
                <c:pt idx="208">
                  <c:v>12</c:v>
                </c:pt>
                <c:pt idx="209">
                  <c:v>1.75</c:v>
                </c:pt>
                <c:pt idx="210">
                  <c:v>1.75</c:v>
                </c:pt>
                <c:pt idx="211">
                  <c:v>4.75</c:v>
                </c:pt>
                <c:pt idx="212">
                  <c:v>1.75</c:v>
                </c:pt>
                <c:pt idx="213">
                  <c:v>4</c:v>
                </c:pt>
                <c:pt idx="214">
                  <c:v>6.5</c:v>
                </c:pt>
                <c:pt idx="215">
                  <c:v>9.5</c:v>
                </c:pt>
                <c:pt idx="216">
                  <c:v>4.75</c:v>
                </c:pt>
                <c:pt idx="217">
                  <c:v>2.5</c:v>
                </c:pt>
                <c:pt idx="218">
                  <c:v>4.75</c:v>
                </c:pt>
                <c:pt idx="219">
                  <c:v>0.75</c:v>
                </c:pt>
                <c:pt idx="220">
                  <c:v>4.75</c:v>
                </c:pt>
                <c:pt idx="221">
                  <c:v>0.5</c:v>
                </c:pt>
                <c:pt idx="222">
                  <c:v>2.75</c:v>
                </c:pt>
                <c:pt idx="223">
                  <c:v>0.75</c:v>
                </c:pt>
                <c:pt idx="224">
                  <c:v>3.5</c:v>
                </c:pt>
                <c:pt idx="225">
                  <c:v>2.5</c:v>
                </c:pt>
                <c:pt idx="226">
                  <c:v>8.5</c:v>
                </c:pt>
                <c:pt idx="227">
                  <c:v>3.25</c:v>
                </c:pt>
                <c:pt idx="228">
                  <c:v>2.25</c:v>
                </c:pt>
                <c:pt idx="229">
                  <c:v>3.5</c:v>
                </c:pt>
                <c:pt idx="230">
                  <c:v>0</c:v>
                </c:pt>
                <c:pt idx="231">
                  <c:v>2.5</c:v>
                </c:pt>
                <c:pt idx="232">
                  <c:v>3</c:v>
                </c:pt>
                <c:pt idx="233">
                  <c:v>1.5</c:v>
                </c:pt>
                <c:pt idx="234">
                  <c:v>3.5</c:v>
                </c:pt>
                <c:pt idx="235">
                  <c:v>1.5</c:v>
                </c:pt>
                <c:pt idx="236">
                  <c:v>3.5</c:v>
                </c:pt>
                <c:pt idx="237">
                  <c:v>0</c:v>
                </c:pt>
                <c:pt idx="238">
                  <c:v>6.75</c:v>
                </c:pt>
                <c:pt idx="239">
                  <c:v>0.25</c:v>
                </c:pt>
                <c:pt idx="240">
                  <c:v>4.75</c:v>
                </c:pt>
                <c:pt idx="241">
                  <c:v>13.25</c:v>
                </c:pt>
                <c:pt idx="242">
                  <c:v>3.25</c:v>
                </c:pt>
                <c:pt idx="243">
                  <c:v>13.25</c:v>
                </c:pt>
                <c:pt idx="244">
                  <c:v>0.5</c:v>
                </c:pt>
                <c:pt idx="245">
                  <c:v>4.75</c:v>
                </c:pt>
                <c:pt idx="246">
                  <c:v>0.25</c:v>
                </c:pt>
                <c:pt idx="247">
                  <c:v>0</c:v>
                </c:pt>
                <c:pt idx="248">
                  <c:v>4.5</c:v>
                </c:pt>
                <c:pt idx="249">
                  <c:v>3.75</c:v>
                </c:pt>
                <c:pt idx="250">
                  <c:v>13.75</c:v>
                </c:pt>
                <c:pt idx="251">
                  <c:v>0.25</c:v>
                </c:pt>
                <c:pt idx="252">
                  <c:v>13</c:v>
                </c:pt>
                <c:pt idx="253">
                  <c:v>3</c:v>
                </c:pt>
                <c:pt idx="254">
                  <c:v>0.75</c:v>
                </c:pt>
                <c:pt idx="255">
                  <c:v>3</c:v>
                </c:pt>
                <c:pt idx="256">
                  <c:v>3.75</c:v>
                </c:pt>
                <c:pt idx="257">
                  <c:v>3.75</c:v>
                </c:pt>
                <c:pt idx="258">
                  <c:v>8.75</c:v>
                </c:pt>
                <c:pt idx="259">
                  <c:v>4</c:v>
                </c:pt>
                <c:pt idx="260">
                  <c:v>1.25</c:v>
                </c:pt>
                <c:pt idx="261">
                  <c:v>4.5</c:v>
                </c:pt>
                <c:pt idx="262">
                  <c:v>3.5</c:v>
                </c:pt>
                <c:pt idx="263">
                  <c:v>2</c:v>
                </c:pt>
                <c:pt idx="264">
                  <c:v>4.75</c:v>
                </c:pt>
                <c:pt idx="265">
                  <c:v>4</c:v>
                </c:pt>
                <c:pt idx="266">
                  <c:v>3</c:v>
                </c:pt>
                <c:pt idx="267">
                  <c:v>0.75</c:v>
                </c:pt>
                <c:pt idx="268">
                  <c:v>0.25</c:v>
                </c:pt>
                <c:pt idx="269">
                  <c:v>1.75</c:v>
                </c:pt>
                <c:pt idx="270">
                  <c:v>0</c:v>
                </c:pt>
                <c:pt idx="271">
                  <c:v>0.5</c:v>
                </c:pt>
                <c:pt idx="272">
                  <c:v>1.25</c:v>
                </c:pt>
                <c:pt idx="273">
                  <c:v>5</c:v>
                </c:pt>
                <c:pt idx="274">
                  <c:v>1</c:v>
                </c:pt>
                <c:pt idx="275">
                  <c:v>9.25</c:v>
                </c:pt>
                <c:pt idx="276">
                  <c:v>3.25</c:v>
                </c:pt>
                <c:pt idx="277">
                  <c:v>1.5</c:v>
                </c:pt>
                <c:pt idx="278">
                  <c:v>1</c:v>
                </c:pt>
                <c:pt idx="279">
                  <c:v>8.25</c:v>
                </c:pt>
                <c:pt idx="280">
                  <c:v>4.25</c:v>
                </c:pt>
                <c:pt idx="281">
                  <c:v>0.75</c:v>
                </c:pt>
                <c:pt idx="282">
                  <c:v>7</c:v>
                </c:pt>
                <c:pt idx="283">
                  <c:v>6.75</c:v>
                </c:pt>
                <c:pt idx="284">
                  <c:v>7.25</c:v>
                </c:pt>
                <c:pt idx="285">
                  <c:v>2.5</c:v>
                </c:pt>
                <c:pt idx="286">
                  <c:v>1</c:v>
                </c:pt>
                <c:pt idx="287">
                  <c:v>0.5</c:v>
                </c:pt>
                <c:pt idx="288">
                  <c:v>2.5</c:v>
                </c:pt>
                <c:pt idx="289">
                  <c:v>0</c:v>
                </c:pt>
                <c:pt idx="290">
                  <c:v>4.25</c:v>
                </c:pt>
                <c:pt idx="291">
                  <c:v>3.75</c:v>
                </c:pt>
                <c:pt idx="292">
                  <c:v>4</c:v>
                </c:pt>
                <c:pt idx="293">
                  <c:v>4.25</c:v>
                </c:pt>
                <c:pt idx="294">
                  <c:v>1.5</c:v>
                </c:pt>
                <c:pt idx="295">
                  <c:v>1.75</c:v>
                </c:pt>
                <c:pt idx="296">
                  <c:v>6</c:v>
                </c:pt>
                <c:pt idx="297">
                  <c:v>9.25</c:v>
                </c:pt>
                <c:pt idx="298">
                  <c:v>4.25</c:v>
                </c:pt>
              </c:numCache>
            </c:numRef>
          </c:xVal>
          <c:yVal>
            <c:numRef>
              <c:f>'Edited Data'!$H$2:$H$300</c:f>
              <c:numCache>
                <c:formatCode>General</c:formatCode>
                <c:ptCount val="299"/>
                <c:pt idx="0">
                  <c:v>10</c:v>
                </c:pt>
                <c:pt idx="1">
                  <c:v>0</c:v>
                </c:pt>
                <c:pt idx="2">
                  <c:v>13</c:v>
                </c:pt>
                <c:pt idx="3">
                  <c:v>11</c:v>
                </c:pt>
                <c:pt idx="4">
                  <c:v>10</c:v>
                </c:pt>
                <c:pt idx="5">
                  <c:v>15</c:v>
                </c:pt>
                <c:pt idx="6">
                  <c:v>15</c:v>
                </c:pt>
                <c:pt idx="7">
                  <c:v>12</c:v>
                </c:pt>
                <c:pt idx="8">
                  <c:v>14</c:v>
                </c:pt>
                <c:pt idx="9">
                  <c:v>12</c:v>
                </c:pt>
                <c:pt idx="10">
                  <c:v>17</c:v>
                </c:pt>
                <c:pt idx="11">
                  <c:v>0</c:v>
                </c:pt>
                <c:pt idx="12">
                  <c:v>10</c:v>
                </c:pt>
                <c:pt idx="13">
                  <c:v>14</c:v>
                </c:pt>
                <c:pt idx="14">
                  <c:v>7</c:v>
                </c:pt>
                <c:pt idx="15">
                  <c:v>15</c:v>
                </c:pt>
                <c:pt idx="16">
                  <c:v>11</c:v>
                </c:pt>
                <c:pt idx="17">
                  <c:v>13</c:v>
                </c:pt>
                <c:pt idx="18">
                  <c:v>12</c:v>
                </c:pt>
                <c:pt idx="19">
                  <c:v>11</c:v>
                </c:pt>
                <c:pt idx="20">
                  <c:v>16</c:v>
                </c:pt>
                <c:pt idx="21">
                  <c:v>12</c:v>
                </c:pt>
                <c:pt idx="22">
                  <c:v>13</c:v>
                </c:pt>
                <c:pt idx="23">
                  <c:v>11</c:v>
                </c:pt>
                <c:pt idx="24">
                  <c:v>15</c:v>
                </c:pt>
                <c:pt idx="25">
                  <c:v>8</c:v>
                </c:pt>
                <c:pt idx="26">
                  <c:v>9</c:v>
                </c:pt>
                <c:pt idx="27">
                  <c:v>10</c:v>
                </c:pt>
                <c:pt idx="28">
                  <c:v>9</c:v>
                </c:pt>
                <c:pt idx="29">
                  <c:v>12</c:v>
                </c:pt>
                <c:pt idx="30">
                  <c:v>14</c:v>
                </c:pt>
                <c:pt idx="31">
                  <c:v>11</c:v>
                </c:pt>
                <c:pt idx="32">
                  <c:v>9</c:v>
                </c:pt>
                <c:pt idx="33">
                  <c:v>18</c:v>
                </c:pt>
                <c:pt idx="34">
                  <c:v>11</c:v>
                </c:pt>
                <c:pt idx="35">
                  <c:v>16</c:v>
                </c:pt>
                <c:pt idx="36">
                  <c:v>12</c:v>
                </c:pt>
                <c:pt idx="37">
                  <c:v>13</c:v>
                </c:pt>
                <c:pt idx="38">
                  <c:v>10</c:v>
                </c:pt>
                <c:pt idx="39">
                  <c:v>9</c:v>
                </c:pt>
                <c:pt idx="40">
                  <c:v>14</c:v>
                </c:pt>
                <c:pt idx="41">
                  <c:v>9</c:v>
                </c:pt>
                <c:pt idx="42">
                  <c:v>15</c:v>
                </c:pt>
                <c:pt idx="43">
                  <c:v>16</c:v>
                </c:pt>
                <c:pt idx="44">
                  <c:v>10</c:v>
                </c:pt>
                <c:pt idx="45">
                  <c:v>11</c:v>
                </c:pt>
                <c:pt idx="46">
                  <c:v>10</c:v>
                </c:pt>
                <c:pt idx="47">
                  <c:v>16</c:v>
                </c:pt>
                <c:pt idx="48">
                  <c:v>13</c:v>
                </c:pt>
                <c:pt idx="49">
                  <c:v>11</c:v>
                </c:pt>
                <c:pt idx="50">
                  <c:v>17</c:v>
                </c:pt>
                <c:pt idx="51">
                  <c:v>17</c:v>
                </c:pt>
                <c:pt idx="52">
                  <c:v>12</c:v>
                </c:pt>
                <c:pt idx="53">
                  <c:v>15</c:v>
                </c:pt>
                <c:pt idx="54">
                  <c:v>14</c:v>
                </c:pt>
                <c:pt idx="55">
                  <c:v>10</c:v>
                </c:pt>
                <c:pt idx="56">
                  <c:v>10</c:v>
                </c:pt>
                <c:pt idx="57">
                  <c:v>13</c:v>
                </c:pt>
                <c:pt idx="58">
                  <c:v>10</c:v>
                </c:pt>
                <c:pt idx="59">
                  <c:v>13</c:v>
                </c:pt>
                <c:pt idx="60">
                  <c:v>11</c:v>
                </c:pt>
                <c:pt idx="61">
                  <c:v>11</c:v>
                </c:pt>
                <c:pt idx="62">
                  <c:v>12</c:v>
                </c:pt>
                <c:pt idx="63">
                  <c:v>10</c:v>
                </c:pt>
                <c:pt idx="64">
                  <c:v>16</c:v>
                </c:pt>
                <c:pt idx="65">
                  <c:v>10</c:v>
                </c:pt>
                <c:pt idx="66">
                  <c:v>10</c:v>
                </c:pt>
                <c:pt idx="67">
                  <c:v>11</c:v>
                </c:pt>
                <c:pt idx="68">
                  <c:v>16</c:v>
                </c:pt>
                <c:pt idx="69">
                  <c:v>0</c:v>
                </c:pt>
                <c:pt idx="70">
                  <c:v>10</c:v>
                </c:pt>
                <c:pt idx="71">
                  <c:v>15</c:v>
                </c:pt>
                <c:pt idx="72">
                  <c:v>16</c:v>
                </c:pt>
                <c:pt idx="73">
                  <c:v>12</c:v>
                </c:pt>
                <c:pt idx="74">
                  <c:v>11</c:v>
                </c:pt>
                <c:pt idx="75">
                  <c:v>12</c:v>
                </c:pt>
                <c:pt idx="76">
                  <c:v>12</c:v>
                </c:pt>
                <c:pt idx="77">
                  <c:v>12</c:v>
                </c:pt>
                <c:pt idx="78">
                  <c:v>15</c:v>
                </c:pt>
                <c:pt idx="79">
                  <c:v>12</c:v>
                </c:pt>
                <c:pt idx="80">
                  <c:v>8</c:v>
                </c:pt>
                <c:pt idx="81">
                  <c:v>11</c:v>
                </c:pt>
                <c:pt idx="82">
                  <c:v>11</c:v>
                </c:pt>
                <c:pt idx="83">
                  <c:v>16</c:v>
                </c:pt>
                <c:pt idx="84">
                  <c:v>12</c:v>
                </c:pt>
                <c:pt idx="85">
                  <c:v>13</c:v>
                </c:pt>
                <c:pt idx="86">
                  <c:v>13</c:v>
                </c:pt>
                <c:pt idx="87">
                  <c:v>9</c:v>
                </c:pt>
                <c:pt idx="88">
                  <c:v>8</c:v>
                </c:pt>
                <c:pt idx="89">
                  <c:v>10</c:v>
                </c:pt>
                <c:pt idx="90">
                  <c:v>13</c:v>
                </c:pt>
                <c:pt idx="91">
                  <c:v>10</c:v>
                </c:pt>
                <c:pt idx="92">
                  <c:v>13</c:v>
                </c:pt>
                <c:pt idx="93">
                  <c:v>16</c:v>
                </c:pt>
                <c:pt idx="94">
                  <c:v>13</c:v>
                </c:pt>
                <c:pt idx="95">
                  <c:v>17</c:v>
                </c:pt>
                <c:pt idx="96">
                  <c:v>10</c:v>
                </c:pt>
                <c:pt idx="97">
                  <c:v>13</c:v>
                </c:pt>
                <c:pt idx="98">
                  <c:v>10</c:v>
                </c:pt>
                <c:pt idx="99">
                  <c:v>10</c:v>
                </c:pt>
                <c:pt idx="100">
                  <c:v>17</c:v>
                </c:pt>
                <c:pt idx="101">
                  <c:v>17</c:v>
                </c:pt>
                <c:pt idx="102">
                  <c:v>12</c:v>
                </c:pt>
                <c:pt idx="103">
                  <c:v>12</c:v>
                </c:pt>
                <c:pt idx="104">
                  <c:v>15</c:v>
                </c:pt>
                <c:pt idx="105">
                  <c:v>11</c:v>
                </c:pt>
                <c:pt idx="106">
                  <c:v>12</c:v>
                </c:pt>
                <c:pt idx="107">
                  <c:v>14</c:v>
                </c:pt>
                <c:pt idx="108">
                  <c:v>9</c:v>
                </c:pt>
                <c:pt idx="109">
                  <c:v>12</c:v>
                </c:pt>
                <c:pt idx="110">
                  <c:v>12</c:v>
                </c:pt>
                <c:pt idx="111">
                  <c:v>17</c:v>
                </c:pt>
                <c:pt idx="112">
                  <c:v>8</c:v>
                </c:pt>
                <c:pt idx="113">
                  <c:v>12</c:v>
                </c:pt>
                <c:pt idx="114">
                  <c:v>11</c:v>
                </c:pt>
                <c:pt idx="115">
                  <c:v>10</c:v>
                </c:pt>
                <c:pt idx="116">
                  <c:v>18</c:v>
                </c:pt>
                <c:pt idx="117">
                  <c:v>14</c:v>
                </c:pt>
                <c:pt idx="118">
                  <c:v>12</c:v>
                </c:pt>
                <c:pt idx="119">
                  <c:v>11</c:v>
                </c:pt>
                <c:pt idx="120">
                  <c:v>17</c:v>
                </c:pt>
                <c:pt idx="121">
                  <c:v>7</c:v>
                </c:pt>
                <c:pt idx="122">
                  <c:v>9</c:v>
                </c:pt>
                <c:pt idx="123">
                  <c:v>14</c:v>
                </c:pt>
                <c:pt idx="124">
                  <c:v>19</c:v>
                </c:pt>
                <c:pt idx="125">
                  <c:v>16</c:v>
                </c:pt>
                <c:pt idx="126">
                  <c:v>10</c:v>
                </c:pt>
                <c:pt idx="127">
                  <c:v>9</c:v>
                </c:pt>
                <c:pt idx="128">
                  <c:v>8</c:v>
                </c:pt>
                <c:pt idx="129">
                  <c:v>13</c:v>
                </c:pt>
                <c:pt idx="130">
                  <c:v>12</c:v>
                </c:pt>
                <c:pt idx="131">
                  <c:v>10</c:v>
                </c:pt>
                <c:pt idx="132">
                  <c:v>15</c:v>
                </c:pt>
                <c:pt idx="133">
                  <c:v>14</c:v>
                </c:pt>
                <c:pt idx="134">
                  <c:v>9</c:v>
                </c:pt>
                <c:pt idx="135">
                  <c:v>11</c:v>
                </c:pt>
                <c:pt idx="136">
                  <c:v>12</c:v>
                </c:pt>
                <c:pt idx="137">
                  <c:v>18</c:v>
                </c:pt>
                <c:pt idx="138">
                  <c:v>18</c:v>
                </c:pt>
                <c:pt idx="139">
                  <c:v>15</c:v>
                </c:pt>
                <c:pt idx="140">
                  <c:v>17</c:v>
                </c:pt>
                <c:pt idx="141">
                  <c:v>11</c:v>
                </c:pt>
                <c:pt idx="142">
                  <c:v>14</c:v>
                </c:pt>
                <c:pt idx="143">
                  <c:v>12</c:v>
                </c:pt>
                <c:pt idx="144">
                  <c:v>14</c:v>
                </c:pt>
                <c:pt idx="145">
                  <c:v>9</c:v>
                </c:pt>
                <c:pt idx="146">
                  <c:v>6</c:v>
                </c:pt>
                <c:pt idx="147">
                  <c:v>11</c:v>
                </c:pt>
                <c:pt idx="148">
                  <c:v>10</c:v>
                </c:pt>
                <c:pt idx="149">
                  <c:v>8</c:v>
                </c:pt>
                <c:pt idx="150">
                  <c:v>12</c:v>
                </c:pt>
                <c:pt idx="151">
                  <c:v>10</c:v>
                </c:pt>
                <c:pt idx="152">
                  <c:v>14</c:v>
                </c:pt>
                <c:pt idx="153">
                  <c:v>12</c:v>
                </c:pt>
                <c:pt idx="154">
                  <c:v>10</c:v>
                </c:pt>
                <c:pt idx="155">
                  <c:v>8</c:v>
                </c:pt>
                <c:pt idx="156">
                  <c:v>10</c:v>
                </c:pt>
                <c:pt idx="157">
                  <c:v>10</c:v>
                </c:pt>
                <c:pt idx="158">
                  <c:v>15</c:v>
                </c:pt>
                <c:pt idx="159">
                  <c:v>10</c:v>
                </c:pt>
                <c:pt idx="160">
                  <c:v>15</c:v>
                </c:pt>
                <c:pt idx="161">
                  <c:v>10</c:v>
                </c:pt>
                <c:pt idx="162">
                  <c:v>13</c:v>
                </c:pt>
                <c:pt idx="163">
                  <c:v>12</c:v>
                </c:pt>
                <c:pt idx="164">
                  <c:v>12</c:v>
                </c:pt>
                <c:pt idx="165">
                  <c:v>8</c:v>
                </c:pt>
                <c:pt idx="166">
                  <c:v>11</c:v>
                </c:pt>
                <c:pt idx="167">
                  <c:v>10</c:v>
                </c:pt>
                <c:pt idx="168">
                  <c:v>9</c:v>
                </c:pt>
                <c:pt idx="169">
                  <c:v>11</c:v>
                </c:pt>
                <c:pt idx="170">
                  <c:v>11</c:v>
                </c:pt>
                <c:pt idx="171">
                  <c:v>13</c:v>
                </c:pt>
                <c:pt idx="172">
                  <c:v>11</c:v>
                </c:pt>
                <c:pt idx="173">
                  <c:v>14</c:v>
                </c:pt>
                <c:pt idx="174">
                  <c:v>11</c:v>
                </c:pt>
                <c:pt idx="175">
                  <c:v>15</c:v>
                </c:pt>
                <c:pt idx="176">
                  <c:v>11</c:v>
                </c:pt>
                <c:pt idx="177">
                  <c:v>13</c:v>
                </c:pt>
                <c:pt idx="178">
                  <c:v>11</c:v>
                </c:pt>
                <c:pt idx="179">
                  <c:v>10</c:v>
                </c:pt>
                <c:pt idx="180">
                  <c:v>18</c:v>
                </c:pt>
                <c:pt idx="181">
                  <c:v>13</c:v>
                </c:pt>
                <c:pt idx="182">
                  <c:v>11</c:v>
                </c:pt>
                <c:pt idx="183">
                  <c:v>13</c:v>
                </c:pt>
                <c:pt idx="184">
                  <c:v>15</c:v>
                </c:pt>
                <c:pt idx="185">
                  <c:v>13</c:v>
                </c:pt>
                <c:pt idx="186">
                  <c:v>7</c:v>
                </c:pt>
                <c:pt idx="187">
                  <c:v>15</c:v>
                </c:pt>
                <c:pt idx="188">
                  <c:v>14</c:v>
                </c:pt>
                <c:pt idx="189">
                  <c:v>14</c:v>
                </c:pt>
                <c:pt idx="190">
                  <c:v>12</c:v>
                </c:pt>
                <c:pt idx="191">
                  <c:v>16</c:v>
                </c:pt>
                <c:pt idx="192">
                  <c:v>18</c:v>
                </c:pt>
                <c:pt idx="193">
                  <c:v>11</c:v>
                </c:pt>
                <c:pt idx="194">
                  <c:v>16</c:v>
                </c:pt>
                <c:pt idx="195">
                  <c:v>12</c:v>
                </c:pt>
                <c:pt idx="196">
                  <c:v>13</c:v>
                </c:pt>
                <c:pt idx="197">
                  <c:v>15</c:v>
                </c:pt>
                <c:pt idx="198">
                  <c:v>12</c:v>
                </c:pt>
                <c:pt idx="199">
                  <c:v>11</c:v>
                </c:pt>
                <c:pt idx="200">
                  <c:v>15</c:v>
                </c:pt>
                <c:pt idx="201">
                  <c:v>11</c:v>
                </c:pt>
                <c:pt idx="202">
                  <c:v>10</c:v>
                </c:pt>
                <c:pt idx="203">
                  <c:v>14</c:v>
                </c:pt>
                <c:pt idx="204">
                  <c:v>8</c:v>
                </c:pt>
                <c:pt idx="205">
                  <c:v>18</c:v>
                </c:pt>
                <c:pt idx="206">
                  <c:v>15</c:v>
                </c:pt>
                <c:pt idx="207">
                  <c:v>9</c:v>
                </c:pt>
                <c:pt idx="208">
                  <c:v>13</c:v>
                </c:pt>
                <c:pt idx="209">
                  <c:v>14</c:v>
                </c:pt>
                <c:pt idx="210">
                  <c:v>12</c:v>
                </c:pt>
                <c:pt idx="211">
                  <c:v>11</c:v>
                </c:pt>
                <c:pt idx="212">
                  <c:v>10</c:v>
                </c:pt>
                <c:pt idx="213">
                  <c:v>15</c:v>
                </c:pt>
                <c:pt idx="214">
                  <c:v>13</c:v>
                </c:pt>
                <c:pt idx="215">
                  <c:v>10</c:v>
                </c:pt>
                <c:pt idx="216">
                  <c:v>13</c:v>
                </c:pt>
                <c:pt idx="217">
                  <c:v>16</c:v>
                </c:pt>
                <c:pt idx="218">
                  <c:v>11</c:v>
                </c:pt>
                <c:pt idx="219">
                  <c:v>0</c:v>
                </c:pt>
                <c:pt idx="220">
                  <c:v>10</c:v>
                </c:pt>
                <c:pt idx="221">
                  <c:v>8</c:v>
                </c:pt>
                <c:pt idx="222">
                  <c:v>17</c:v>
                </c:pt>
                <c:pt idx="223">
                  <c:v>16</c:v>
                </c:pt>
                <c:pt idx="224">
                  <c:v>11</c:v>
                </c:pt>
                <c:pt idx="225">
                  <c:v>15</c:v>
                </c:pt>
                <c:pt idx="226">
                  <c:v>8</c:v>
                </c:pt>
                <c:pt idx="227">
                  <c:v>9</c:v>
                </c:pt>
                <c:pt idx="228">
                  <c:v>13</c:v>
                </c:pt>
                <c:pt idx="229">
                  <c:v>17</c:v>
                </c:pt>
                <c:pt idx="230">
                  <c:v>13</c:v>
                </c:pt>
                <c:pt idx="231">
                  <c:v>11</c:v>
                </c:pt>
                <c:pt idx="232">
                  <c:v>12</c:v>
                </c:pt>
                <c:pt idx="233">
                  <c:v>17</c:v>
                </c:pt>
                <c:pt idx="234">
                  <c:v>9</c:v>
                </c:pt>
                <c:pt idx="235">
                  <c:v>15</c:v>
                </c:pt>
                <c:pt idx="236">
                  <c:v>8</c:v>
                </c:pt>
                <c:pt idx="237">
                  <c:v>10</c:v>
                </c:pt>
                <c:pt idx="238">
                  <c:v>15</c:v>
                </c:pt>
                <c:pt idx="239">
                  <c:v>10</c:v>
                </c:pt>
                <c:pt idx="240">
                  <c:v>11</c:v>
                </c:pt>
                <c:pt idx="241">
                  <c:v>17</c:v>
                </c:pt>
                <c:pt idx="242">
                  <c:v>10</c:v>
                </c:pt>
                <c:pt idx="243">
                  <c:v>12</c:v>
                </c:pt>
                <c:pt idx="244">
                  <c:v>12</c:v>
                </c:pt>
                <c:pt idx="245">
                  <c:v>14</c:v>
                </c:pt>
                <c:pt idx="246">
                  <c:v>11</c:v>
                </c:pt>
                <c:pt idx="247">
                  <c:v>15</c:v>
                </c:pt>
                <c:pt idx="248">
                  <c:v>15</c:v>
                </c:pt>
                <c:pt idx="249">
                  <c:v>8</c:v>
                </c:pt>
                <c:pt idx="250">
                  <c:v>11</c:v>
                </c:pt>
                <c:pt idx="251">
                  <c:v>7</c:v>
                </c:pt>
                <c:pt idx="252">
                  <c:v>14</c:v>
                </c:pt>
                <c:pt idx="253">
                  <c:v>12</c:v>
                </c:pt>
                <c:pt idx="254">
                  <c:v>7</c:v>
                </c:pt>
                <c:pt idx="255">
                  <c:v>13</c:v>
                </c:pt>
                <c:pt idx="256">
                  <c:v>16</c:v>
                </c:pt>
                <c:pt idx="257">
                  <c:v>8</c:v>
                </c:pt>
                <c:pt idx="258">
                  <c:v>15</c:v>
                </c:pt>
                <c:pt idx="259">
                  <c:v>13</c:v>
                </c:pt>
                <c:pt idx="260">
                  <c:v>14</c:v>
                </c:pt>
                <c:pt idx="261">
                  <c:v>15</c:v>
                </c:pt>
                <c:pt idx="262">
                  <c:v>11</c:v>
                </c:pt>
                <c:pt idx="263">
                  <c:v>13</c:v>
                </c:pt>
                <c:pt idx="264">
                  <c:v>11</c:v>
                </c:pt>
                <c:pt idx="265">
                  <c:v>12</c:v>
                </c:pt>
                <c:pt idx="266">
                  <c:v>16</c:v>
                </c:pt>
                <c:pt idx="267">
                  <c:v>13</c:v>
                </c:pt>
                <c:pt idx="268">
                  <c:v>9</c:v>
                </c:pt>
                <c:pt idx="269">
                  <c:v>8</c:v>
                </c:pt>
                <c:pt idx="270">
                  <c:v>13</c:v>
                </c:pt>
                <c:pt idx="271">
                  <c:v>11</c:v>
                </c:pt>
                <c:pt idx="272">
                  <c:v>8</c:v>
                </c:pt>
                <c:pt idx="273">
                  <c:v>11</c:v>
                </c:pt>
                <c:pt idx="274">
                  <c:v>10</c:v>
                </c:pt>
                <c:pt idx="275">
                  <c:v>14</c:v>
                </c:pt>
                <c:pt idx="276">
                  <c:v>16</c:v>
                </c:pt>
                <c:pt idx="277">
                  <c:v>9</c:v>
                </c:pt>
                <c:pt idx="278">
                  <c:v>10</c:v>
                </c:pt>
                <c:pt idx="279">
                  <c:v>14</c:v>
                </c:pt>
                <c:pt idx="280">
                  <c:v>16</c:v>
                </c:pt>
                <c:pt idx="281">
                  <c:v>16</c:v>
                </c:pt>
                <c:pt idx="282">
                  <c:v>8</c:v>
                </c:pt>
                <c:pt idx="283">
                  <c:v>11</c:v>
                </c:pt>
                <c:pt idx="284">
                  <c:v>14</c:v>
                </c:pt>
                <c:pt idx="285">
                  <c:v>10</c:v>
                </c:pt>
                <c:pt idx="286">
                  <c:v>11</c:v>
                </c:pt>
                <c:pt idx="287">
                  <c:v>11</c:v>
                </c:pt>
                <c:pt idx="288">
                  <c:v>14</c:v>
                </c:pt>
                <c:pt idx="289">
                  <c:v>14</c:v>
                </c:pt>
                <c:pt idx="290">
                  <c:v>13</c:v>
                </c:pt>
                <c:pt idx="291">
                  <c:v>12</c:v>
                </c:pt>
                <c:pt idx="292">
                  <c:v>10</c:v>
                </c:pt>
                <c:pt idx="293">
                  <c:v>14</c:v>
                </c:pt>
                <c:pt idx="294">
                  <c:v>12</c:v>
                </c:pt>
                <c:pt idx="295">
                  <c:v>11</c:v>
                </c:pt>
                <c:pt idx="296">
                  <c:v>12</c:v>
                </c:pt>
                <c:pt idx="297">
                  <c:v>11</c:v>
                </c:pt>
                <c:pt idx="298">
                  <c:v>0</c:v>
                </c:pt>
              </c:numCache>
            </c:numRef>
          </c:yVal>
          <c:smooth val="0"/>
          <c:extLst>
            <c:ext xmlns:c16="http://schemas.microsoft.com/office/drawing/2014/chart" uri="{C3380CC4-5D6E-409C-BE32-E72D297353CC}">
              <c16:uniqueId val="{00000000-9D63-CA4A-BB39-BC60FA5DA0E5}"/>
            </c:ext>
          </c:extLst>
        </c:ser>
        <c:dLbls>
          <c:showLegendKey val="0"/>
          <c:showVal val="0"/>
          <c:showCatName val="0"/>
          <c:showSerName val="0"/>
          <c:showPercent val="0"/>
          <c:showBubbleSize val="0"/>
        </c:dLbls>
        <c:axId val="572065983"/>
        <c:axId val="572078079"/>
      </c:scatterChart>
      <c:valAx>
        <c:axId val="5720659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0" i="0" u="none" strike="noStrike" kern="1200" baseline="0">
                    <a:solidFill>
                      <a:sysClr val="windowText" lastClr="000000">
                        <a:lumMod val="65000"/>
                        <a:lumOff val="35000"/>
                      </a:sysClr>
                    </a:solidFill>
                  </a:rPr>
                  <a:t>Study Time </a:t>
                </a:r>
                <a:r>
                  <a:rPr lang="en-US" baseline="0"/>
                  <a:t> </a:t>
                </a: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078079"/>
        <c:crosses val="autoZero"/>
        <c:crossBetween val="midCat"/>
      </c:valAx>
      <c:valAx>
        <c:axId val="5720780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Final</a:t>
                </a:r>
                <a:r>
                  <a:rPr lang="en-US" baseline="0"/>
                  <a:t> Grade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06598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[StudentGrades.xlsx]Descriptive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School</a:t>
            </a:r>
            <a:r>
              <a:rPr lang="en-US" baseline="0"/>
              <a:t> Support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hade val="76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5">
              <a:tint val="77000"/>
            </a:schemeClr>
          </a:solidFill>
          <a:ln w="19050">
            <a:solidFill>
              <a:schemeClr val="lt1"/>
            </a:solidFill>
          </a:ln>
          <a:effectLst/>
        </c:spPr>
        <c:dLbl>
          <c:idx val="0"/>
          <c:layout>
            <c:manualLayout>
              <c:x val="3.0555555555555555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hade val="76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5">
              <a:tint val="77000"/>
            </a:schemeClr>
          </a:solidFill>
          <a:ln w="19050">
            <a:solidFill>
              <a:schemeClr val="lt1"/>
            </a:solidFill>
          </a:ln>
          <a:effectLst/>
        </c:spPr>
        <c:dLbl>
          <c:idx val="0"/>
          <c:layout>
            <c:manualLayout>
              <c:x val="3.0555555555555555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'Descriptive Analysis'!$B$23</c:f>
              <c:strCache>
                <c:ptCount val="1"/>
                <c:pt idx="0">
                  <c:v>Total</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15DC-47EC-8A3B-D530307A97EB}"/>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15DC-47EC-8A3B-D530307A97EB}"/>
              </c:ext>
            </c:extLst>
          </c:dPt>
          <c:dLbls>
            <c:dLbl>
              <c:idx val="0"/>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5DC-47EC-8A3B-D530307A97EB}"/>
                </c:ext>
              </c:extLst>
            </c:dLbl>
            <c:dLbl>
              <c:idx val="1"/>
              <c:layout>
                <c:manualLayout>
                  <c:x val="3.0555555555555555E-2"/>
                  <c:y val="-1.851851851851851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5DC-47EC-8A3B-D530307A97E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'Descriptive Analysis'!$A$24:$A$26</c:f>
              <c:strCache>
                <c:ptCount val="2"/>
                <c:pt idx="0">
                  <c:v>No</c:v>
                </c:pt>
                <c:pt idx="1">
                  <c:v>Yes</c:v>
                </c:pt>
              </c:strCache>
            </c:strRef>
          </c:cat>
          <c:val>
            <c:numRef>
              <c:f>'Descriptive Analysis'!$B$24:$B$26</c:f>
              <c:numCache>
                <c:formatCode>General</c:formatCode>
                <c:ptCount val="2"/>
                <c:pt idx="0">
                  <c:v>264</c:v>
                </c:pt>
                <c:pt idx="1">
                  <c:v>35</c:v>
                </c:pt>
              </c:numCache>
            </c:numRef>
          </c:val>
          <c:extLst>
            <c:ext xmlns:c16="http://schemas.microsoft.com/office/drawing/2014/chart" uri="{C3380CC4-5D6E-409C-BE32-E72D297353CC}">
              <c16:uniqueId val="{00000000-563B-402B-9F3B-A0FBA05E71C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[StudentGrades.xlsx]Descriptive Analysis!PivotTable2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Extracurriculars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tint val="77000"/>
            </a:schemeClr>
          </a:solidFill>
          <a:ln w="19050">
            <a:solidFill>
              <a:schemeClr val="lt1"/>
            </a:solidFill>
          </a:ln>
          <a:effectLst/>
        </c:spPr>
        <c:dLbl>
          <c:idx val="0"/>
          <c:layout>
            <c:manualLayout>
              <c:x val="-2.3611111111111128E-2"/>
              <c:y val="0.111111111111111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1523600174978126"/>
                  <c:h val="0.17585666375036454"/>
                </c:manualLayout>
              </c15:layout>
            </c:ext>
          </c:extLst>
        </c:dLbl>
      </c:pivotFmt>
      <c:pivotFmt>
        <c:idx val="2"/>
        <c:spPr>
          <a:solidFill>
            <a:schemeClr val="accent5">
              <a:shade val="76000"/>
            </a:schemeClr>
          </a:solidFill>
          <a:ln w="19050">
            <a:solidFill>
              <a:schemeClr val="lt1"/>
            </a:solidFill>
          </a:ln>
          <a:effectLst/>
        </c:spPr>
        <c:dLbl>
          <c:idx val="0"/>
          <c:layout>
            <c:manualLayout>
              <c:x val="-1.3888888888888888E-2"/>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hade val="76000"/>
            </a:schemeClr>
          </a:solidFill>
          <a:ln w="19050">
            <a:solidFill>
              <a:schemeClr val="lt1"/>
            </a:solidFill>
          </a:ln>
          <a:effectLst/>
        </c:spPr>
        <c:dLbl>
          <c:idx val="0"/>
          <c:layout>
            <c:manualLayout>
              <c:x val="-1.3888888888888888E-2"/>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5">
              <a:tint val="77000"/>
            </a:schemeClr>
          </a:solidFill>
          <a:ln w="19050">
            <a:solidFill>
              <a:schemeClr val="lt1"/>
            </a:solidFill>
          </a:ln>
          <a:effectLst/>
        </c:spPr>
        <c:dLbl>
          <c:idx val="0"/>
          <c:layout>
            <c:manualLayout>
              <c:x val="-2.3611111111111128E-2"/>
              <c:y val="0.111111111111111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1523600174978126"/>
                  <c:h val="0.17585666375036454"/>
                </c:manualLayout>
              </c15:layout>
            </c:ext>
          </c:extLst>
        </c:dLbl>
      </c:pivotFmt>
    </c:pivotFmts>
    <c:plotArea>
      <c:layout/>
      <c:pieChart>
        <c:varyColors val="1"/>
        <c:ser>
          <c:idx val="0"/>
          <c:order val="0"/>
          <c:tx>
            <c:strRef>
              <c:f>'Descriptive Analysis'!$B$6</c:f>
              <c:strCache>
                <c:ptCount val="1"/>
                <c:pt idx="0">
                  <c:v>Total</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3-7123-44FD-9B02-BA316A8D3CE4}"/>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2-7123-44FD-9B02-BA316A8D3CE4}"/>
              </c:ext>
            </c:extLst>
          </c:dPt>
          <c:dLbls>
            <c:dLbl>
              <c:idx val="0"/>
              <c:layout>
                <c:manualLayout>
                  <c:x val="-1.3888888888888888E-2"/>
                  <c:y val="-0.16666666666666666"/>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123-44FD-9B02-BA316A8D3CE4}"/>
                </c:ext>
              </c:extLst>
            </c:dLbl>
            <c:dLbl>
              <c:idx val="1"/>
              <c:layout>
                <c:manualLayout>
                  <c:x val="-2.3611111111111128E-2"/>
                  <c:y val="0.111111111111111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1523600174978126"/>
                      <c:h val="0.17585666375036454"/>
                    </c:manualLayout>
                  </c15:layout>
                </c:ext>
                <c:ext xmlns:c16="http://schemas.microsoft.com/office/drawing/2014/chart" uri="{C3380CC4-5D6E-409C-BE32-E72D297353CC}">
                  <c16:uniqueId val="{00000002-7123-44FD-9B02-BA316A8D3CE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'Descriptive Analysis'!$A$7:$A$9</c:f>
              <c:strCache>
                <c:ptCount val="2"/>
                <c:pt idx="0">
                  <c:v>No</c:v>
                </c:pt>
                <c:pt idx="1">
                  <c:v>Yes</c:v>
                </c:pt>
              </c:strCache>
            </c:strRef>
          </c:cat>
          <c:val>
            <c:numRef>
              <c:f>'Descriptive Analysis'!$B$7:$B$9</c:f>
              <c:numCache>
                <c:formatCode>General</c:formatCode>
                <c:ptCount val="2"/>
                <c:pt idx="0">
                  <c:v>149</c:v>
                </c:pt>
                <c:pt idx="1">
                  <c:v>150</c:v>
                </c:pt>
              </c:numCache>
            </c:numRef>
          </c:val>
          <c:extLst>
            <c:ext xmlns:c16="http://schemas.microsoft.com/office/drawing/2014/chart" uri="{C3380CC4-5D6E-409C-BE32-E72D297353CC}">
              <c16:uniqueId val="{00000000-7123-44FD-9B02-BA316A8D3CE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[StudentGrades.xlsx]Descriptive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College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w="19050">
            <a:solidFill>
              <a:schemeClr val="lt1"/>
            </a:solidFill>
          </a:ln>
          <a:effectLst/>
        </c:spPr>
      </c:pivotFmt>
      <c:pivotFmt>
        <c:idx val="2"/>
        <c:spPr>
          <a:solidFill>
            <a:srgbClr val="637CEF"/>
          </a:solidFill>
          <a:ln w="19050">
            <a:solidFill>
              <a:schemeClr val="lt1"/>
            </a:solidFill>
          </a:ln>
          <a:effectLst/>
        </c:spPr>
      </c:pivotFmt>
      <c:pivotFmt>
        <c:idx val="3"/>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37CEF"/>
          </a:solidFill>
          <a:ln w="19050">
            <a:solidFill>
              <a:schemeClr val="lt1"/>
            </a:solidFill>
          </a:ln>
          <a:effectLst/>
        </c:spPr>
        <c:dLbl>
          <c:idx val="0"/>
          <c:layout>
            <c:manualLayout>
              <c:x val="5.5042529031279222E-2"/>
              <c:y val="-9.45481928913846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637CEF"/>
          </a:solidFill>
          <a:ln w="19050">
            <a:solidFill>
              <a:schemeClr val="lt1"/>
            </a:solidFill>
          </a:ln>
          <a:effectLst/>
        </c:spPr>
        <c:dLbl>
          <c:idx val="0"/>
          <c:layout>
            <c:manualLayout>
              <c:x val="-0.11928338345231901"/>
              <c:y val="-8.20412533662824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37CEF"/>
          </a:solidFill>
          <a:ln w="19050">
            <a:solidFill>
              <a:schemeClr val="lt1"/>
            </a:solidFill>
          </a:ln>
          <a:effectLst/>
        </c:spPr>
        <c:dLbl>
          <c:idx val="0"/>
          <c:layout>
            <c:manualLayout>
              <c:x val="5.5042529031279222E-2"/>
              <c:y val="-9.45481928913846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637CEF"/>
          </a:solidFill>
          <a:ln w="19050">
            <a:solidFill>
              <a:schemeClr val="lt1"/>
            </a:solidFill>
          </a:ln>
          <a:effectLst/>
        </c:spPr>
        <c:dLbl>
          <c:idx val="0"/>
          <c:layout>
            <c:manualLayout>
              <c:x val="-0.11928338345231901"/>
              <c:y val="-8.20412533662824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6872201920444161"/>
          <c:y val="0.22864069544480314"/>
          <c:w val="0.47008269928964191"/>
          <c:h val="0.5759880268002735"/>
        </c:manualLayout>
      </c:layout>
      <c:pieChart>
        <c:varyColors val="1"/>
        <c:ser>
          <c:idx val="0"/>
          <c:order val="0"/>
          <c:tx>
            <c:strRef>
              <c:f>'Descriptive Analysis'!$B$37</c:f>
              <c:strCache>
                <c:ptCount val="1"/>
                <c:pt idx="0">
                  <c:v>Total</c:v>
                </c:pt>
              </c:strCache>
            </c:strRef>
          </c:tx>
          <c:dPt>
            <c:idx val="0"/>
            <c:bubble3D val="0"/>
            <c:spPr>
              <a:solidFill>
                <a:srgbClr val="637CEF"/>
              </a:solidFill>
              <a:ln w="19050">
                <a:solidFill>
                  <a:schemeClr val="lt1"/>
                </a:solidFill>
              </a:ln>
              <a:effectLst/>
            </c:spPr>
            <c:extLst>
              <c:ext xmlns:c16="http://schemas.microsoft.com/office/drawing/2014/chart" uri="{C3380CC4-5D6E-409C-BE32-E72D297353CC}">
                <c16:uniqueId val="{00000001-233D-A44E-8DF5-DAF84FBA3E4E}"/>
              </c:ext>
            </c:extLst>
          </c:dPt>
          <c:dPt>
            <c:idx val="1"/>
            <c:bubble3D val="0"/>
            <c:spPr>
              <a:solidFill>
                <a:srgbClr val="E3008C"/>
              </a:solidFill>
              <a:ln w="19050">
                <a:solidFill>
                  <a:schemeClr val="lt1"/>
                </a:solidFill>
              </a:ln>
              <a:effectLst/>
            </c:spPr>
            <c:extLst>
              <c:ext xmlns:c16="http://schemas.microsoft.com/office/drawing/2014/chart" uri="{C3380CC4-5D6E-409C-BE32-E72D297353CC}">
                <c16:uniqueId val="{00000003-233D-A44E-8DF5-DAF84FBA3E4E}"/>
              </c:ext>
            </c:extLst>
          </c:dPt>
          <c:dLbls>
            <c:dLbl>
              <c:idx val="0"/>
              <c:layout>
                <c:manualLayout>
                  <c:x val="5.5042529031279222E-2"/>
                  <c:y val="-9.4548192891384681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33D-A44E-8DF5-DAF84FBA3E4E}"/>
                </c:ext>
              </c:extLst>
            </c:dLbl>
            <c:dLbl>
              <c:idx val="1"/>
              <c:layout>
                <c:manualLayout>
                  <c:x val="-0.11928338345231901"/>
                  <c:y val="-8.204125336628247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33D-A44E-8DF5-DAF84FBA3E4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'Descriptive Analysis'!$A$38:$A$40</c:f>
              <c:strCache>
                <c:ptCount val="2"/>
                <c:pt idx="0">
                  <c:v>No</c:v>
                </c:pt>
                <c:pt idx="1">
                  <c:v>Yes</c:v>
                </c:pt>
              </c:strCache>
            </c:strRef>
          </c:cat>
          <c:val>
            <c:numRef>
              <c:f>'Descriptive Analysis'!$B$38:$B$40</c:f>
              <c:numCache>
                <c:formatCode>General</c:formatCode>
                <c:ptCount val="2"/>
                <c:pt idx="0">
                  <c:v>30</c:v>
                </c:pt>
                <c:pt idx="1">
                  <c:v>269</c:v>
                </c:pt>
              </c:numCache>
            </c:numRef>
          </c:val>
          <c:extLst>
            <c:ext xmlns:c16="http://schemas.microsoft.com/office/drawing/2014/chart" uri="{C3380CC4-5D6E-409C-BE32-E72D297353CC}">
              <c16:uniqueId val="{00000000-9C70-4318-86BD-D41A40C155B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of Failures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c:spPr>
        <c:marker>
          <c:spPr>
            <a:solidFill>
              <a:srgbClr val="637CEF"/>
            </a:solidFill>
            <a:ln w="9525">
              <a:solidFill>
                <a:srgbClr val="637CEF"/>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637CEF"/>
            </a:solidFill>
            <a:ln>
              <a:noFill/>
            </a:ln>
            <a:effectLst/>
          </c:spPr>
          <c:invertIfNegative val="0"/>
          <c:cat>
            <c:strLit>
              <c:ptCount val="4"/>
              <c:pt idx="0">
                <c:v>0</c:v>
              </c:pt>
              <c:pt idx="1">
                <c:v>1</c:v>
              </c:pt>
              <c:pt idx="2">
                <c:v>2</c:v>
              </c:pt>
              <c:pt idx="3">
                <c:v>3</c:v>
              </c:pt>
            </c:strLit>
          </c:cat>
          <c:val>
            <c:numLit>
              <c:formatCode>General</c:formatCode>
              <c:ptCount val="4"/>
              <c:pt idx="0">
                <c:v>254</c:v>
              </c:pt>
              <c:pt idx="1">
                <c:v>32</c:v>
              </c:pt>
              <c:pt idx="2">
                <c:v>7</c:v>
              </c:pt>
              <c:pt idx="3">
                <c:v>6</c:v>
              </c:pt>
            </c:numLit>
          </c:val>
          <c:extLst>
            <c:ext xmlns:c16="http://schemas.microsoft.com/office/drawing/2014/chart" uri="{C3380CC4-5D6E-409C-BE32-E72D297353CC}">
              <c16:uniqueId val="{00000000-E6BD-497A-8BBF-04E72F099E8F}"/>
            </c:ext>
          </c:extLst>
        </c:ser>
        <c:dLbls>
          <c:showLegendKey val="0"/>
          <c:showVal val="0"/>
          <c:showCatName val="0"/>
          <c:showSerName val="0"/>
          <c:showPercent val="0"/>
          <c:showBubbleSize val="0"/>
        </c:dLbls>
        <c:gapWidth val="182"/>
        <c:axId val="481701896"/>
        <c:axId val="481703944"/>
      </c:barChart>
      <c:catAx>
        <c:axId val="481701896"/>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703944"/>
        <c:crosses val="autoZero"/>
        <c:auto val="1"/>
        <c:lblAlgn val="ctr"/>
        <c:lblOffset val="100"/>
        <c:noMultiLvlLbl val="0"/>
      </c:catAx>
      <c:valAx>
        <c:axId val="481703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70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of Absences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w="19050">
            <a:solidFill>
              <a:schemeClr val="lt1"/>
            </a:solidFill>
          </a:ln>
          <a:effectLst/>
        </c:spPr>
        <c:marker>
          <c:spPr>
            <a:solidFill>
              <a:srgbClr val="637CEF"/>
            </a:solidFill>
            <a:ln w="9525">
              <a:solidFill>
                <a:srgbClr val="637CEF"/>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637CEF"/>
            </a:solidFill>
            <a:ln w="19050">
              <a:solidFill>
                <a:schemeClr val="lt1"/>
              </a:solidFill>
            </a:ln>
            <a:effectLst/>
          </c:spPr>
          <c:invertIfNegative val="0"/>
          <c:cat>
            <c:strLit>
              <c:ptCount val="17"/>
              <c:pt idx="0">
                <c:v>0</c:v>
              </c:pt>
              <c:pt idx="1">
                <c:v>4</c:v>
              </c:pt>
              <c:pt idx="2">
                <c:v>2</c:v>
              </c:pt>
              <c:pt idx="3">
                <c:v>6</c:v>
              </c:pt>
              <c:pt idx="4">
                <c:v>8</c:v>
              </c:pt>
              <c:pt idx="5">
                <c:v>10</c:v>
              </c:pt>
              <c:pt idx="6">
                <c:v>1</c:v>
              </c:pt>
              <c:pt idx="7">
                <c:v>16</c:v>
              </c:pt>
              <c:pt idx="8">
                <c:v>5</c:v>
              </c:pt>
              <c:pt idx="9">
                <c:v>14</c:v>
              </c:pt>
              <c:pt idx="10">
                <c:v>12</c:v>
              </c:pt>
              <c:pt idx="11">
                <c:v>3</c:v>
              </c:pt>
              <c:pt idx="12">
                <c:v>11</c:v>
              </c:pt>
              <c:pt idx="13">
                <c:v>7</c:v>
              </c:pt>
              <c:pt idx="14">
                <c:v>9</c:v>
              </c:pt>
              <c:pt idx="15">
                <c:v>26</c:v>
              </c:pt>
              <c:pt idx="16">
                <c:v>15</c:v>
              </c:pt>
            </c:strLit>
          </c:cat>
          <c:val>
            <c:numLit>
              <c:formatCode>General</c:formatCode>
              <c:ptCount val="17"/>
              <c:pt idx="0">
                <c:v>118</c:v>
              </c:pt>
              <c:pt idx="1">
                <c:v>47</c:v>
              </c:pt>
              <c:pt idx="2">
                <c:v>42</c:v>
              </c:pt>
              <c:pt idx="3">
                <c:v>23</c:v>
              </c:pt>
              <c:pt idx="4">
                <c:v>19</c:v>
              </c:pt>
              <c:pt idx="5">
                <c:v>13</c:v>
              </c:pt>
              <c:pt idx="6">
                <c:v>6</c:v>
              </c:pt>
              <c:pt idx="7">
                <c:v>6</c:v>
              </c:pt>
              <c:pt idx="8">
                <c:v>5</c:v>
              </c:pt>
              <c:pt idx="9">
                <c:v>4</c:v>
              </c:pt>
              <c:pt idx="10">
                <c:v>4</c:v>
              </c:pt>
              <c:pt idx="11">
                <c:v>3</c:v>
              </c:pt>
              <c:pt idx="12">
                <c:v>3</c:v>
              </c:pt>
              <c:pt idx="13">
                <c:v>2</c:v>
              </c:pt>
              <c:pt idx="14">
                <c:v>2</c:v>
              </c:pt>
              <c:pt idx="15">
                <c:v>1</c:v>
              </c:pt>
              <c:pt idx="16">
                <c:v>1</c:v>
              </c:pt>
            </c:numLit>
          </c:val>
          <c:extLst>
            <c:ext xmlns:c16="http://schemas.microsoft.com/office/drawing/2014/chart" uri="{C3380CC4-5D6E-409C-BE32-E72D297353CC}">
              <c16:uniqueId val="{00000000-D824-4643-BAE9-8093603A18D9}"/>
            </c:ext>
          </c:extLst>
        </c:ser>
        <c:dLbls>
          <c:showLegendKey val="0"/>
          <c:showVal val="0"/>
          <c:showCatName val="0"/>
          <c:showSerName val="0"/>
          <c:showPercent val="0"/>
          <c:showBubbleSize val="0"/>
        </c:dLbls>
        <c:gapWidth val="150"/>
        <c:axId val="481747976"/>
        <c:axId val="481750536"/>
      </c:barChart>
      <c:catAx>
        <c:axId val="481747976"/>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750536"/>
        <c:crosses val="autoZero"/>
        <c:auto val="1"/>
        <c:lblAlgn val="ctr"/>
        <c:lblOffset val="100"/>
        <c:noMultiLvlLbl val="0"/>
      </c:catAx>
      <c:valAx>
        <c:axId val="481750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747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Absences</a:t>
            </a:r>
            <a:r>
              <a:rPr lang="en-US" baseline="0"/>
              <a:t> x Final Grade</a:t>
            </a:r>
            <a:endParaRPr lang="en-US"/>
          </a:p>
        </c:rich>
      </c:tx>
      <c:layout>
        <c:manualLayout>
          <c:xMode val="edge"/>
          <c:yMode val="edge"/>
          <c:x val="0.3071944444444444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'Edited Data'!$H$1</c:f>
              <c:strCache>
                <c:ptCount val="1"/>
                <c:pt idx="0">
                  <c:v>Grade</c:v>
                </c:pt>
              </c:strCache>
            </c:strRef>
          </c:tx>
          <c:spPr>
            <a:ln w="38100" cap="rnd">
              <a:noFill/>
              <a:round/>
            </a:ln>
            <a:effectLst/>
          </c:spPr>
          <c:marker>
            <c:symbol val="circle"/>
            <c:size val="5"/>
            <c:spPr>
              <a:solidFill>
                <a:schemeClr val="accent1"/>
              </a:solidFill>
              <a:ln w="9525">
                <a:solidFill>
                  <a:schemeClr val="accent1"/>
                </a:solidFill>
              </a:ln>
              <a:effectLst/>
            </c:spPr>
          </c:marker>
          <c:xVal>
            <c:numRef>
              <c:f>'Edited Data'!$E$2:$E$300</c:f>
              <c:numCache>
                <c:formatCode>General</c:formatCode>
                <c:ptCount val="299"/>
                <c:pt idx="0">
                  <c:v>4</c:v>
                </c:pt>
                <c:pt idx="1">
                  <c:v>0</c:v>
                </c:pt>
                <c:pt idx="2">
                  <c:v>0</c:v>
                </c:pt>
                <c:pt idx="3">
                  <c:v>0</c:v>
                </c:pt>
                <c:pt idx="4">
                  <c:v>2</c:v>
                </c:pt>
                <c:pt idx="5">
                  <c:v>0</c:v>
                </c:pt>
                <c:pt idx="6">
                  <c:v>0</c:v>
                </c:pt>
                <c:pt idx="7">
                  <c:v>4</c:v>
                </c:pt>
                <c:pt idx="8">
                  <c:v>0</c:v>
                </c:pt>
                <c:pt idx="9">
                  <c:v>2</c:v>
                </c:pt>
                <c:pt idx="10">
                  <c:v>6</c:v>
                </c:pt>
                <c:pt idx="11">
                  <c:v>0</c:v>
                </c:pt>
                <c:pt idx="12">
                  <c:v>3</c:v>
                </c:pt>
                <c:pt idx="13">
                  <c:v>8</c:v>
                </c:pt>
                <c:pt idx="14">
                  <c:v>3</c:v>
                </c:pt>
                <c:pt idx="15">
                  <c:v>6</c:v>
                </c:pt>
                <c:pt idx="16">
                  <c:v>0</c:v>
                </c:pt>
                <c:pt idx="17">
                  <c:v>0</c:v>
                </c:pt>
                <c:pt idx="18">
                  <c:v>4</c:v>
                </c:pt>
                <c:pt idx="19">
                  <c:v>0</c:v>
                </c:pt>
                <c:pt idx="20">
                  <c:v>0</c:v>
                </c:pt>
                <c:pt idx="21">
                  <c:v>4</c:v>
                </c:pt>
                <c:pt idx="22">
                  <c:v>2</c:v>
                </c:pt>
                <c:pt idx="23">
                  <c:v>12</c:v>
                </c:pt>
                <c:pt idx="24">
                  <c:v>8</c:v>
                </c:pt>
                <c:pt idx="25">
                  <c:v>3</c:v>
                </c:pt>
                <c:pt idx="26">
                  <c:v>2</c:v>
                </c:pt>
                <c:pt idx="27">
                  <c:v>10</c:v>
                </c:pt>
                <c:pt idx="28">
                  <c:v>2</c:v>
                </c:pt>
                <c:pt idx="29">
                  <c:v>4</c:v>
                </c:pt>
                <c:pt idx="30">
                  <c:v>0</c:v>
                </c:pt>
                <c:pt idx="31">
                  <c:v>2</c:v>
                </c:pt>
                <c:pt idx="32">
                  <c:v>0</c:v>
                </c:pt>
                <c:pt idx="33">
                  <c:v>0</c:v>
                </c:pt>
                <c:pt idx="34">
                  <c:v>0</c:v>
                </c:pt>
                <c:pt idx="35">
                  <c:v>4</c:v>
                </c:pt>
                <c:pt idx="36">
                  <c:v>2</c:v>
                </c:pt>
                <c:pt idx="37">
                  <c:v>0</c:v>
                </c:pt>
                <c:pt idx="38">
                  <c:v>5</c:v>
                </c:pt>
                <c:pt idx="39">
                  <c:v>2</c:v>
                </c:pt>
                <c:pt idx="40">
                  <c:v>4</c:v>
                </c:pt>
                <c:pt idx="41">
                  <c:v>6</c:v>
                </c:pt>
                <c:pt idx="42">
                  <c:v>0</c:v>
                </c:pt>
                <c:pt idx="43">
                  <c:v>8</c:v>
                </c:pt>
                <c:pt idx="44">
                  <c:v>4</c:v>
                </c:pt>
                <c:pt idx="45">
                  <c:v>5</c:v>
                </c:pt>
                <c:pt idx="46">
                  <c:v>10</c:v>
                </c:pt>
                <c:pt idx="47">
                  <c:v>0</c:v>
                </c:pt>
                <c:pt idx="48">
                  <c:v>2</c:v>
                </c:pt>
                <c:pt idx="49">
                  <c:v>0</c:v>
                </c:pt>
                <c:pt idx="50">
                  <c:v>0</c:v>
                </c:pt>
                <c:pt idx="51">
                  <c:v>2</c:v>
                </c:pt>
                <c:pt idx="52">
                  <c:v>0</c:v>
                </c:pt>
                <c:pt idx="53">
                  <c:v>8</c:v>
                </c:pt>
                <c:pt idx="54">
                  <c:v>8</c:v>
                </c:pt>
                <c:pt idx="55">
                  <c:v>0</c:v>
                </c:pt>
                <c:pt idx="56">
                  <c:v>8</c:v>
                </c:pt>
                <c:pt idx="57">
                  <c:v>2</c:v>
                </c:pt>
                <c:pt idx="58">
                  <c:v>2</c:v>
                </c:pt>
                <c:pt idx="59">
                  <c:v>0</c:v>
                </c:pt>
                <c:pt idx="60">
                  <c:v>4</c:v>
                </c:pt>
                <c:pt idx="61">
                  <c:v>0</c:v>
                </c:pt>
                <c:pt idx="62">
                  <c:v>0</c:v>
                </c:pt>
                <c:pt idx="63">
                  <c:v>0</c:v>
                </c:pt>
                <c:pt idx="64">
                  <c:v>0</c:v>
                </c:pt>
                <c:pt idx="65">
                  <c:v>0</c:v>
                </c:pt>
                <c:pt idx="66">
                  <c:v>2</c:v>
                </c:pt>
                <c:pt idx="67">
                  <c:v>8</c:v>
                </c:pt>
                <c:pt idx="68">
                  <c:v>10</c:v>
                </c:pt>
                <c:pt idx="69">
                  <c:v>0</c:v>
                </c:pt>
                <c:pt idx="70">
                  <c:v>9</c:v>
                </c:pt>
                <c:pt idx="71">
                  <c:v>10</c:v>
                </c:pt>
                <c:pt idx="72">
                  <c:v>8</c:v>
                </c:pt>
                <c:pt idx="73">
                  <c:v>0</c:v>
                </c:pt>
                <c:pt idx="74">
                  <c:v>4</c:v>
                </c:pt>
                <c:pt idx="75">
                  <c:v>11</c:v>
                </c:pt>
                <c:pt idx="76">
                  <c:v>2</c:v>
                </c:pt>
                <c:pt idx="77">
                  <c:v>15</c:v>
                </c:pt>
                <c:pt idx="78">
                  <c:v>0</c:v>
                </c:pt>
                <c:pt idx="79">
                  <c:v>2</c:v>
                </c:pt>
                <c:pt idx="80">
                  <c:v>0</c:v>
                </c:pt>
                <c:pt idx="81">
                  <c:v>10</c:v>
                </c:pt>
                <c:pt idx="82">
                  <c:v>4</c:v>
                </c:pt>
                <c:pt idx="83">
                  <c:v>0</c:v>
                </c:pt>
                <c:pt idx="84">
                  <c:v>0</c:v>
                </c:pt>
                <c:pt idx="85">
                  <c:v>2</c:v>
                </c:pt>
                <c:pt idx="86">
                  <c:v>0</c:v>
                </c:pt>
                <c:pt idx="87">
                  <c:v>4</c:v>
                </c:pt>
                <c:pt idx="88">
                  <c:v>2</c:v>
                </c:pt>
                <c:pt idx="89">
                  <c:v>0</c:v>
                </c:pt>
                <c:pt idx="90">
                  <c:v>6</c:v>
                </c:pt>
                <c:pt idx="91">
                  <c:v>10</c:v>
                </c:pt>
                <c:pt idx="92">
                  <c:v>0</c:v>
                </c:pt>
                <c:pt idx="93">
                  <c:v>0</c:v>
                </c:pt>
                <c:pt idx="94">
                  <c:v>6</c:v>
                </c:pt>
                <c:pt idx="95">
                  <c:v>0</c:v>
                </c:pt>
                <c:pt idx="96">
                  <c:v>0</c:v>
                </c:pt>
                <c:pt idx="97">
                  <c:v>0</c:v>
                </c:pt>
                <c:pt idx="98">
                  <c:v>0</c:v>
                </c:pt>
                <c:pt idx="99">
                  <c:v>12</c:v>
                </c:pt>
                <c:pt idx="100">
                  <c:v>2</c:v>
                </c:pt>
                <c:pt idx="101">
                  <c:v>4</c:v>
                </c:pt>
                <c:pt idx="102">
                  <c:v>8</c:v>
                </c:pt>
                <c:pt idx="103">
                  <c:v>2</c:v>
                </c:pt>
                <c:pt idx="104">
                  <c:v>8</c:v>
                </c:pt>
                <c:pt idx="105">
                  <c:v>4</c:v>
                </c:pt>
                <c:pt idx="106">
                  <c:v>0</c:v>
                </c:pt>
                <c:pt idx="107">
                  <c:v>0</c:v>
                </c:pt>
                <c:pt idx="108">
                  <c:v>0</c:v>
                </c:pt>
                <c:pt idx="109">
                  <c:v>0</c:v>
                </c:pt>
                <c:pt idx="110">
                  <c:v>0</c:v>
                </c:pt>
                <c:pt idx="111">
                  <c:v>0</c:v>
                </c:pt>
                <c:pt idx="112">
                  <c:v>14</c:v>
                </c:pt>
                <c:pt idx="113">
                  <c:v>16</c:v>
                </c:pt>
                <c:pt idx="114">
                  <c:v>6</c:v>
                </c:pt>
                <c:pt idx="115">
                  <c:v>4</c:v>
                </c:pt>
                <c:pt idx="116">
                  <c:v>0</c:v>
                </c:pt>
                <c:pt idx="117">
                  <c:v>0</c:v>
                </c:pt>
                <c:pt idx="118">
                  <c:v>6</c:v>
                </c:pt>
                <c:pt idx="119">
                  <c:v>2</c:v>
                </c:pt>
                <c:pt idx="120">
                  <c:v>6</c:v>
                </c:pt>
                <c:pt idx="121">
                  <c:v>8</c:v>
                </c:pt>
                <c:pt idx="122">
                  <c:v>0</c:v>
                </c:pt>
                <c:pt idx="123">
                  <c:v>2</c:v>
                </c:pt>
                <c:pt idx="124">
                  <c:v>0</c:v>
                </c:pt>
                <c:pt idx="125">
                  <c:v>6</c:v>
                </c:pt>
                <c:pt idx="126">
                  <c:v>4</c:v>
                </c:pt>
                <c:pt idx="127">
                  <c:v>4</c:v>
                </c:pt>
                <c:pt idx="128">
                  <c:v>6</c:v>
                </c:pt>
                <c:pt idx="129">
                  <c:v>4</c:v>
                </c:pt>
                <c:pt idx="130">
                  <c:v>0</c:v>
                </c:pt>
                <c:pt idx="131">
                  <c:v>0</c:v>
                </c:pt>
                <c:pt idx="132">
                  <c:v>0</c:v>
                </c:pt>
                <c:pt idx="133">
                  <c:v>4</c:v>
                </c:pt>
                <c:pt idx="134">
                  <c:v>0</c:v>
                </c:pt>
                <c:pt idx="135">
                  <c:v>4</c:v>
                </c:pt>
                <c:pt idx="136">
                  <c:v>12</c:v>
                </c:pt>
                <c:pt idx="137">
                  <c:v>0</c:v>
                </c:pt>
                <c:pt idx="138">
                  <c:v>0</c:v>
                </c:pt>
                <c:pt idx="139">
                  <c:v>4</c:v>
                </c:pt>
                <c:pt idx="140">
                  <c:v>0</c:v>
                </c:pt>
                <c:pt idx="141">
                  <c:v>0</c:v>
                </c:pt>
                <c:pt idx="142">
                  <c:v>0</c:v>
                </c:pt>
                <c:pt idx="143">
                  <c:v>2</c:v>
                </c:pt>
                <c:pt idx="144">
                  <c:v>0</c:v>
                </c:pt>
                <c:pt idx="145">
                  <c:v>4</c:v>
                </c:pt>
                <c:pt idx="146">
                  <c:v>4</c:v>
                </c:pt>
                <c:pt idx="147">
                  <c:v>0</c:v>
                </c:pt>
                <c:pt idx="148">
                  <c:v>0</c:v>
                </c:pt>
                <c:pt idx="149">
                  <c:v>4</c:v>
                </c:pt>
                <c:pt idx="150">
                  <c:v>0</c:v>
                </c:pt>
                <c:pt idx="151">
                  <c:v>0</c:v>
                </c:pt>
                <c:pt idx="152">
                  <c:v>0</c:v>
                </c:pt>
                <c:pt idx="153">
                  <c:v>6</c:v>
                </c:pt>
                <c:pt idx="154">
                  <c:v>6</c:v>
                </c:pt>
                <c:pt idx="155">
                  <c:v>2</c:v>
                </c:pt>
                <c:pt idx="156">
                  <c:v>16</c:v>
                </c:pt>
                <c:pt idx="157">
                  <c:v>4</c:v>
                </c:pt>
                <c:pt idx="158">
                  <c:v>4</c:v>
                </c:pt>
                <c:pt idx="159">
                  <c:v>0</c:v>
                </c:pt>
                <c:pt idx="160">
                  <c:v>6</c:v>
                </c:pt>
                <c:pt idx="161">
                  <c:v>16</c:v>
                </c:pt>
                <c:pt idx="162">
                  <c:v>0</c:v>
                </c:pt>
                <c:pt idx="163">
                  <c:v>8</c:v>
                </c:pt>
                <c:pt idx="164">
                  <c:v>0</c:v>
                </c:pt>
                <c:pt idx="165">
                  <c:v>14</c:v>
                </c:pt>
                <c:pt idx="166">
                  <c:v>8</c:v>
                </c:pt>
                <c:pt idx="167">
                  <c:v>4</c:v>
                </c:pt>
                <c:pt idx="168">
                  <c:v>8</c:v>
                </c:pt>
                <c:pt idx="169">
                  <c:v>10</c:v>
                </c:pt>
                <c:pt idx="170">
                  <c:v>0</c:v>
                </c:pt>
                <c:pt idx="171">
                  <c:v>0</c:v>
                </c:pt>
                <c:pt idx="172">
                  <c:v>0</c:v>
                </c:pt>
                <c:pt idx="173">
                  <c:v>0</c:v>
                </c:pt>
                <c:pt idx="174">
                  <c:v>4</c:v>
                </c:pt>
                <c:pt idx="175">
                  <c:v>7</c:v>
                </c:pt>
                <c:pt idx="176">
                  <c:v>4</c:v>
                </c:pt>
                <c:pt idx="177">
                  <c:v>6</c:v>
                </c:pt>
                <c:pt idx="178">
                  <c:v>2</c:v>
                </c:pt>
                <c:pt idx="179">
                  <c:v>0</c:v>
                </c:pt>
                <c:pt idx="180">
                  <c:v>0</c:v>
                </c:pt>
                <c:pt idx="181">
                  <c:v>1</c:v>
                </c:pt>
                <c:pt idx="182">
                  <c:v>2</c:v>
                </c:pt>
                <c:pt idx="183">
                  <c:v>0</c:v>
                </c:pt>
                <c:pt idx="184">
                  <c:v>4</c:v>
                </c:pt>
                <c:pt idx="185">
                  <c:v>0</c:v>
                </c:pt>
                <c:pt idx="186">
                  <c:v>2</c:v>
                </c:pt>
                <c:pt idx="187">
                  <c:v>0</c:v>
                </c:pt>
                <c:pt idx="188">
                  <c:v>6</c:v>
                </c:pt>
                <c:pt idx="189">
                  <c:v>1</c:v>
                </c:pt>
                <c:pt idx="190">
                  <c:v>0</c:v>
                </c:pt>
                <c:pt idx="191">
                  <c:v>4</c:v>
                </c:pt>
                <c:pt idx="192">
                  <c:v>10</c:v>
                </c:pt>
                <c:pt idx="193">
                  <c:v>6</c:v>
                </c:pt>
                <c:pt idx="194">
                  <c:v>4</c:v>
                </c:pt>
                <c:pt idx="195">
                  <c:v>0</c:v>
                </c:pt>
                <c:pt idx="196">
                  <c:v>0</c:v>
                </c:pt>
                <c:pt idx="197">
                  <c:v>0</c:v>
                </c:pt>
                <c:pt idx="198">
                  <c:v>2</c:v>
                </c:pt>
                <c:pt idx="199">
                  <c:v>2</c:v>
                </c:pt>
                <c:pt idx="200">
                  <c:v>0</c:v>
                </c:pt>
                <c:pt idx="201">
                  <c:v>11</c:v>
                </c:pt>
                <c:pt idx="202">
                  <c:v>0</c:v>
                </c:pt>
                <c:pt idx="203">
                  <c:v>4</c:v>
                </c:pt>
                <c:pt idx="204">
                  <c:v>8</c:v>
                </c:pt>
                <c:pt idx="205">
                  <c:v>0</c:v>
                </c:pt>
                <c:pt idx="206">
                  <c:v>4</c:v>
                </c:pt>
                <c:pt idx="207">
                  <c:v>8</c:v>
                </c:pt>
                <c:pt idx="208">
                  <c:v>4</c:v>
                </c:pt>
                <c:pt idx="209">
                  <c:v>0</c:v>
                </c:pt>
                <c:pt idx="210">
                  <c:v>4</c:v>
                </c:pt>
                <c:pt idx="211">
                  <c:v>0</c:v>
                </c:pt>
                <c:pt idx="212">
                  <c:v>4</c:v>
                </c:pt>
                <c:pt idx="213">
                  <c:v>0</c:v>
                </c:pt>
                <c:pt idx="214">
                  <c:v>2</c:v>
                </c:pt>
                <c:pt idx="215">
                  <c:v>6</c:v>
                </c:pt>
                <c:pt idx="216">
                  <c:v>6</c:v>
                </c:pt>
                <c:pt idx="217">
                  <c:v>2</c:v>
                </c:pt>
                <c:pt idx="218">
                  <c:v>6</c:v>
                </c:pt>
                <c:pt idx="219">
                  <c:v>0</c:v>
                </c:pt>
                <c:pt idx="220">
                  <c:v>0</c:v>
                </c:pt>
                <c:pt idx="221">
                  <c:v>26</c:v>
                </c:pt>
                <c:pt idx="222">
                  <c:v>0</c:v>
                </c:pt>
                <c:pt idx="223">
                  <c:v>0</c:v>
                </c:pt>
                <c:pt idx="224">
                  <c:v>0</c:v>
                </c:pt>
                <c:pt idx="225">
                  <c:v>8</c:v>
                </c:pt>
                <c:pt idx="226">
                  <c:v>5</c:v>
                </c:pt>
                <c:pt idx="227">
                  <c:v>4</c:v>
                </c:pt>
                <c:pt idx="228">
                  <c:v>0</c:v>
                </c:pt>
                <c:pt idx="229">
                  <c:v>14</c:v>
                </c:pt>
                <c:pt idx="230">
                  <c:v>0</c:v>
                </c:pt>
                <c:pt idx="231">
                  <c:v>6</c:v>
                </c:pt>
                <c:pt idx="232">
                  <c:v>2</c:v>
                </c:pt>
                <c:pt idx="233">
                  <c:v>6</c:v>
                </c:pt>
                <c:pt idx="234">
                  <c:v>6</c:v>
                </c:pt>
                <c:pt idx="235">
                  <c:v>0</c:v>
                </c:pt>
                <c:pt idx="236">
                  <c:v>10</c:v>
                </c:pt>
                <c:pt idx="237">
                  <c:v>0</c:v>
                </c:pt>
                <c:pt idx="238">
                  <c:v>4</c:v>
                </c:pt>
                <c:pt idx="239">
                  <c:v>5</c:v>
                </c:pt>
                <c:pt idx="240">
                  <c:v>1</c:v>
                </c:pt>
                <c:pt idx="241">
                  <c:v>2</c:v>
                </c:pt>
                <c:pt idx="242">
                  <c:v>2</c:v>
                </c:pt>
                <c:pt idx="243">
                  <c:v>0</c:v>
                </c:pt>
                <c:pt idx="244">
                  <c:v>16</c:v>
                </c:pt>
                <c:pt idx="245">
                  <c:v>1</c:v>
                </c:pt>
                <c:pt idx="246">
                  <c:v>10</c:v>
                </c:pt>
                <c:pt idx="247">
                  <c:v>0</c:v>
                </c:pt>
                <c:pt idx="248">
                  <c:v>2</c:v>
                </c:pt>
                <c:pt idx="249">
                  <c:v>9</c:v>
                </c:pt>
                <c:pt idx="250">
                  <c:v>6</c:v>
                </c:pt>
                <c:pt idx="251">
                  <c:v>12</c:v>
                </c:pt>
                <c:pt idx="252">
                  <c:v>8</c:v>
                </c:pt>
                <c:pt idx="253">
                  <c:v>0</c:v>
                </c:pt>
                <c:pt idx="254">
                  <c:v>14</c:v>
                </c:pt>
                <c:pt idx="255">
                  <c:v>0</c:v>
                </c:pt>
                <c:pt idx="256">
                  <c:v>0</c:v>
                </c:pt>
                <c:pt idx="257">
                  <c:v>4</c:v>
                </c:pt>
                <c:pt idx="258">
                  <c:v>0</c:v>
                </c:pt>
                <c:pt idx="259">
                  <c:v>2</c:v>
                </c:pt>
                <c:pt idx="260">
                  <c:v>4</c:v>
                </c:pt>
                <c:pt idx="261">
                  <c:v>2</c:v>
                </c:pt>
                <c:pt idx="262">
                  <c:v>0</c:v>
                </c:pt>
                <c:pt idx="263">
                  <c:v>4</c:v>
                </c:pt>
                <c:pt idx="264">
                  <c:v>4</c:v>
                </c:pt>
                <c:pt idx="265">
                  <c:v>16</c:v>
                </c:pt>
                <c:pt idx="266">
                  <c:v>0</c:v>
                </c:pt>
                <c:pt idx="267">
                  <c:v>1</c:v>
                </c:pt>
                <c:pt idx="268">
                  <c:v>0</c:v>
                </c:pt>
                <c:pt idx="269">
                  <c:v>10</c:v>
                </c:pt>
                <c:pt idx="270">
                  <c:v>0</c:v>
                </c:pt>
                <c:pt idx="271">
                  <c:v>2</c:v>
                </c:pt>
                <c:pt idx="272">
                  <c:v>4</c:v>
                </c:pt>
                <c:pt idx="273">
                  <c:v>0</c:v>
                </c:pt>
                <c:pt idx="274">
                  <c:v>0</c:v>
                </c:pt>
                <c:pt idx="275">
                  <c:v>4</c:v>
                </c:pt>
                <c:pt idx="276">
                  <c:v>2</c:v>
                </c:pt>
                <c:pt idx="277">
                  <c:v>0</c:v>
                </c:pt>
                <c:pt idx="278">
                  <c:v>4</c:v>
                </c:pt>
                <c:pt idx="279">
                  <c:v>10</c:v>
                </c:pt>
                <c:pt idx="280">
                  <c:v>2</c:v>
                </c:pt>
                <c:pt idx="281">
                  <c:v>7</c:v>
                </c:pt>
                <c:pt idx="282">
                  <c:v>0</c:v>
                </c:pt>
                <c:pt idx="283">
                  <c:v>10</c:v>
                </c:pt>
                <c:pt idx="284">
                  <c:v>0</c:v>
                </c:pt>
                <c:pt idx="285">
                  <c:v>0</c:v>
                </c:pt>
                <c:pt idx="286">
                  <c:v>2</c:v>
                </c:pt>
                <c:pt idx="287">
                  <c:v>4</c:v>
                </c:pt>
                <c:pt idx="288">
                  <c:v>0</c:v>
                </c:pt>
                <c:pt idx="289">
                  <c:v>5</c:v>
                </c:pt>
                <c:pt idx="290">
                  <c:v>2</c:v>
                </c:pt>
                <c:pt idx="291">
                  <c:v>8</c:v>
                </c:pt>
                <c:pt idx="292">
                  <c:v>16</c:v>
                </c:pt>
                <c:pt idx="293">
                  <c:v>0</c:v>
                </c:pt>
                <c:pt idx="294">
                  <c:v>0</c:v>
                </c:pt>
                <c:pt idx="295">
                  <c:v>11</c:v>
                </c:pt>
                <c:pt idx="296">
                  <c:v>1</c:v>
                </c:pt>
                <c:pt idx="297">
                  <c:v>2</c:v>
                </c:pt>
                <c:pt idx="298">
                  <c:v>0</c:v>
                </c:pt>
              </c:numCache>
            </c:numRef>
          </c:xVal>
          <c:yVal>
            <c:numRef>
              <c:f>'Edited Data'!$H$2:$H$300</c:f>
              <c:numCache>
                <c:formatCode>General</c:formatCode>
                <c:ptCount val="299"/>
                <c:pt idx="0">
                  <c:v>10</c:v>
                </c:pt>
                <c:pt idx="1">
                  <c:v>0</c:v>
                </c:pt>
                <c:pt idx="2">
                  <c:v>13</c:v>
                </c:pt>
                <c:pt idx="3">
                  <c:v>11</c:v>
                </c:pt>
                <c:pt idx="4">
                  <c:v>10</c:v>
                </c:pt>
                <c:pt idx="5">
                  <c:v>15</c:v>
                </c:pt>
                <c:pt idx="6">
                  <c:v>15</c:v>
                </c:pt>
                <c:pt idx="7">
                  <c:v>12</c:v>
                </c:pt>
                <c:pt idx="8">
                  <c:v>14</c:v>
                </c:pt>
                <c:pt idx="9">
                  <c:v>12</c:v>
                </c:pt>
                <c:pt idx="10">
                  <c:v>17</c:v>
                </c:pt>
                <c:pt idx="11">
                  <c:v>0</c:v>
                </c:pt>
                <c:pt idx="12">
                  <c:v>10</c:v>
                </c:pt>
                <c:pt idx="13">
                  <c:v>14</c:v>
                </c:pt>
                <c:pt idx="14">
                  <c:v>7</c:v>
                </c:pt>
                <c:pt idx="15">
                  <c:v>15</c:v>
                </c:pt>
                <c:pt idx="16">
                  <c:v>11</c:v>
                </c:pt>
                <c:pt idx="17">
                  <c:v>13</c:v>
                </c:pt>
                <c:pt idx="18">
                  <c:v>12</c:v>
                </c:pt>
                <c:pt idx="19">
                  <c:v>11</c:v>
                </c:pt>
                <c:pt idx="20">
                  <c:v>16</c:v>
                </c:pt>
                <c:pt idx="21">
                  <c:v>12</c:v>
                </c:pt>
                <c:pt idx="22">
                  <c:v>13</c:v>
                </c:pt>
                <c:pt idx="23">
                  <c:v>11</c:v>
                </c:pt>
                <c:pt idx="24">
                  <c:v>15</c:v>
                </c:pt>
                <c:pt idx="25">
                  <c:v>8</c:v>
                </c:pt>
                <c:pt idx="26">
                  <c:v>9</c:v>
                </c:pt>
                <c:pt idx="27">
                  <c:v>10</c:v>
                </c:pt>
                <c:pt idx="28">
                  <c:v>9</c:v>
                </c:pt>
                <c:pt idx="29">
                  <c:v>12</c:v>
                </c:pt>
                <c:pt idx="30">
                  <c:v>14</c:v>
                </c:pt>
                <c:pt idx="31">
                  <c:v>11</c:v>
                </c:pt>
                <c:pt idx="32">
                  <c:v>9</c:v>
                </c:pt>
                <c:pt idx="33">
                  <c:v>18</c:v>
                </c:pt>
                <c:pt idx="34">
                  <c:v>11</c:v>
                </c:pt>
                <c:pt idx="35">
                  <c:v>16</c:v>
                </c:pt>
                <c:pt idx="36">
                  <c:v>12</c:v>
                </c:pt>
                <c:pt idx="37">
                  <c:v>13</c:v>
                </c:pt>
                <c:pt idx="38">
                  <c:v>10</c:v>
                </c:pt>
                <c:pt idx="39">
                  <c:v>9</c:v>
                </c:pt>
                <c:pt idx="40">
                  <c:v>14</c:v>
                </c:pt>
                <c:pt idx="41">
                  <c:v>9</c:v>
                </c:pt>
                <c:pt idx="42">
                  <c:v>15</c:v>
                </c:pt>
                <c:pt idx="43">
                  <c:v>16</c:v>
                </c:pt>
                <c:pt idx="44">
                  <c:v>10</c:v>
                </c:pt>
                <c:pt idx="45">
                  <c:v>11</c:v>
                </c:pt>
                <c:pt idx="46">
                  <c:v>10</c:v>
                </c:pt>
                <c:pt idx="47">
                  <c:v>16</c:v>
                </c:pt>
                <c:pt idx="48">
                  <c:v>13</c:v>
                </c:pt>
                <c:pt idx="49">
                  <c:v>11</c:v>
                </c:pt>
                <c:pt idx="50">
                  <c:v>17</c:v>
                </c:pt>
                <c:pt idx="51">
                  <c:v>17</c:v>
                </c:pt>
                <c:pt idx="52">
                  <c:v>12</c:v>
                </c:pt>
                <c:pt idx="53">
                  <c:v>15</c:v>
                </c:pt>
                <c:pt idx="54">
                  <c:v>14</c:v>
                </c:pt>
                <c:pt idx="55">
                  <c:v>10</c:v>
                </c:pt>
                <c:pt idx="56">
                  <c:v>10</c:v>
                </c:pt>
                <c:pt idx="57">
                  <c:v>13</c:v>
                </c:pt>
                <c:pt idx="58">
                  <c:v>10</c:v>
                </c:pt>
                <c:pt idx="59">
                  <c:v>13</c:v>
                </c:pt>
                <c:pt idx="60">
                  <c:v>11</c:v>
                </c:pt>
                <c:pt idx="61">
                  <c:v>11</c:v>
                </c:pt>
                <c:pt idx="62">
                  <c:v>12</c:v>
                </c:pt>
                <c:pt idx="63">
                  <c:v>10</c:v>
                </c:pt>
                <c:pt idx="64">
                  <c:v>16</c:v>
                </c:pt>
                <c:pt idx="65">
                  <c:v>10</c:v>
                </c:pt>
                <c:pt idx="66">
                  <c:v>10</c:v>
                </c:pt>
                <c:pt idx="67">
                  <c:v>11</c:v>
                </c:pt>
                <c:pt idx="68">
                  <c:v>16</c:v>
                </c:pt>
                <c:pt idx="69">
                  <c:v>0</c:v>
                </c:pt>
                <c:pt idx="70">
                  <c:v>10</c:v>
                </c:pt>
                <c:pt idx="71">
                  <c:v>15</c:v>
                </c:pt>
                <c:pt idx="72">
                  <c:v>16</c:v>
                </c:pt>
                <c:pt idx="73">
                  <c:v>12</c:v>
                </c:pt>
                <c:pt idx="74">
                  <c:v>11</c:v>
                </c:pt>
                <c:pt idx="75">
                  <c:v>12</c:v>
                </c:pt>
                <c:pt idx="76">
                  <c:v>12</c:v>
                </c:pt>
                <c:pt idx="77">
                  <c:v>12</c:v>
                </c:pt>
                <c:pt idx="78">
                  <c:v>15</c:v>
                </c:pt>
                <c:pt idx="79">
                  <c:v>12</c:v>
                </c:pt>
                <c:pt idx="80">
                  <c:v>8</c:v>
                </c:pt>
                <c:pt idx="81">
                  <c:v>11</c:v>
                </c:pt>
                <c:pt idx="82">
                  <c:v>11</c:v>
                </c:pt>
                <c:pt idx="83">
                  <c:v>16</c:v>
                </c:pt>
                <c:pt idx="84">
                  <c:v>12</c:v>
                </c:pt>
                <c:pt idx="85">
                  <c:v>13</c:v>
                </c:pt>
                <c:pt idx="86">
                  <c:v>13</c:v>
                </c:pt>
                <c:pt idx="87">
                  <c:v>9</c:v>
                </c:pt>
                <c:pt idx="88">
                  <c:v>8</c:v>
                </c:pt>
                <c:pt idx="89">
                  <c:v>10</c:v>
                </c:pt>
                <c:pt idx="90">
                  <c:v>13</c:v>
                </c:pt>
                <c:pt idx="91">
                  <c:v>10</c:v>
                </c:pt>
                <c:pt idx="92">
                  <c:v>13</c:v>
                </c:pt>
                <c:pt idx="93">
                  <c:v>16</c:v>
                </c:pt>
                <c:pt idx="94">
                  <c:v>13</c:v>
                </c:pt>
                <c:pt idx="95">
                  <c:v>17</c:v>
                </c:pt>
                <c:pt idx="96">
                  <c:v>10</c:v>
                </c:pt>
                <c:pt idx="97">
                  <c:v>13</c:v>
                </c:pt>
                <c:pt idx="98">
                  <c:v>10</c:v>
                </c:pt>
                <c:pt idx="99">
                  <c:v>10</c:v>
                </c:pt>
                <c:pt idx="100">
                  <c:v>17</c:v>
                </c:pt>
                <c:pt idx="101">
                  <c:v>17</c:v>
                </c:pt>
                <c:pt idx="102">
                  <c:v>12</c:v>
                </c:pt>
                <c:pt idx="103">
                  <c:v>12</c:v>
                </c:pt>
                <c:pt idx="104">
                  <c:v>15</c:v>
                </c:pt>
                <c:pt idx="105">
                  <c:v>11</c:v>
                </c:pt>
                <c:pt idx="106">
                  <c:v>12</c:v>
                </c:pt>
                <c:pt idx="107">
                  <c:v>14</c:v>
                </c:pt>
                <c:pt idx="108">
                  <c:v>9</c:v>
                </c:pt>
                <c:pt idx="109">
                  <c:v>12</c:v>
                </c:pt>
                <c:pt idx="110">
                  <c:v>12</c:v>
                </c:pt>
                <c:pt idx="111">
                  <c:v>17</c:v>
                </c:pt>
                <c:pt idx="112">
                  <c:v>8</c:v>
                </c:pt>
                <c:pt idx="113">
                  <c:v>12</c:v>
                </c:pt>
                <c:pt idx="114">
                  <c:v>11</c:v>
                </c:pt>
                <c:pt idx="115">
                  <c:v>10</c:v>
                </c:pt>
                <c:pt idx="116">
                  <c:v>18</c:v>
                </c:pt>
                <c:pt idx="117">
                  <c:v>14</c:v>
                </c:pt>
                <c:pt idx="118">
                  <c:v>12</c:v>
                </c:pt>
                <c:pt idx="119">
                  <c:v>11</c:v>
                </c:pt>
                <c:pt idx="120">
                  <c:v>17</c:v>
                </c:pt>
                <c:pt idx="121">
                  <c:v>7</c:v>
                </c:pt>
                <c:pt idx="122">
                  <c:v>9</c:v>
                </c:pt>
                <c:pt idx="123">
                  <c:v>14</c:v>
                </c:pt>
                <c:pt idx="124">
                  <c:v>19</c:v>
                </c:pt>
                <c:pt idx="125">
                  <c:v>16</c:v>
                </c:pt>
                <c:pt idx="126">
                  <c:v>10</c:v>
                </c:pt>
                <c:pt idx="127">
                  <c:v>9</c:v>
                </c:pt>
                <c:pt idx="128">
                  <c:v>8</c:v>
                </c:pt>
                <c:pt idx="129">
                  <c:v>13</c:v>
                </c:pt>
                <c:pt idx="130">
                  <c:v>12</c:v>
                </c:pt>
                <c:pt idx="131">
                  <c:v>10</c:v>
                </c:pt>
                <c:pt idx="132">
                  <c:v>15</c:v>
                </c:pt>
                <c:pt idx="133">
                  <c:v>14</c:v>
                </c:pt>
                <c:pt idx="134">
                  <c:v>9</c:v>
                </c:pt>
                <c:pt idx="135">
                  <c:v>11</c:v>
                </c:pt>
                <c:pt idx="136">
                  <c:v>12</c:v>
                </c:pt>
                <c:pt idx="137">
                  <c:v>18</c:v>
                </c:pt>
                <c:pt idx="138">
                  <c:v>18</c:v>
                </c:pt>
                <c:pt idx="139">
                  <c:v>15</c:v>
                </c:pt>
                <c:pt idx="140">
                  <c:v>17</c:v>
                </c:pt>
                <c:pt idx="141">
                  <c:v>11</c:v>
                </c:pt>
                <c:pt idx="142">
                  <c:v>14</c:v>
                </c:pt>
                <c:pt idx="143">
                  <c:v>12</c:v>
                </c:pt>
                <c:pt idx="144">
                  <c:v>14</c:v>
                </c:pt>
                <c:pt idx="145">
                  <c:v>9</c:v>
                </c:pt>
                <c:pt idx="146">
                  <c:v>6</c:v>
                </c:pt>
                <c:pt idx="147">
                  <c:v>11</c:v>
                </c:pt>
                <c:pt idx="148">
                  <c:v>10</c:v>
                </c:pt>
                <c:pt idx="149">
                  <c:v>8</c:v>
                </c:pt>
                <c:pt idx="150">
                  <c:v>12</c:v>
                </c:pt>
                <c:pt idx="151">
                  <c:v>10</c:v>
                </c:pt>
                <c:pt idx="152">
                  <c:v>14</c:v>
                </c:pt>
                <c:pt idx="153">
                  <c:v>12</c:v>
                </c:pt>
                <c:pt idx="154">
                  <c:v>10</c:v>
                </c:pt>
                <c:pt idx="155">
                  <c:v>8</c:v>
                </c:pt>
                <c:pt idx="156">
                  <c:v>10</c:v>
                </c:pt>
                <c:pt idx="157">
                  <c:v>10</c:v>
                </c:pt>
                <c:pt idx="158">
                  <c:v>15</c:v>
                </c:pt>
                <c:pt idx="159">
                  <c:v>10</c:v>
                </c:pt>
                <c:pt idx="160">
                  <c:v>15</c:v>
                </c:pt>
                <c:pt idx="161">
                  <c:v>10</c:v>
                </c:pt>
                <c:pt idx="162">
                  <c:v>13</c:v>
                </c:pt>
                <c:pt idx="163">
                  <c:v>12</c:v>
                </c:pt>
                <c:pt idx="164">
                  <c:v>12</c:v>
                </c:pt>
                <c:pt idx="165">
                  <c:v>8</c:v>
                </c:pt>
                <c:pt idx="166">
                  <c:v>11</c:v>
                </c:pt>
                <c:pt idx="167">
                  <c:v>10</c:v>
                </c:pt>
                <c:pt idx="168">
                  <c:v>9</c:v>
                </c:pt>
                <c:pt idx="169">
                  <c:v>11</c:v>
                </c:pt>
                <c:pt idx="170">
                  <c:v>11</c:v>
                </c:pt>
                <c:pt idx="171">
                  <c:v>13</c:v>
                </c:pt>
                <c:pt idx="172">
                  <c:v>11</c:v>
                </c:pt>
                <c:pt idx="173">
                  <c:v>14</c:v>
                </c:pt>
                <c:pt idx="174">
                  <c:v>11</c:v>
                </c:pt>
                <c:pt idx="175">
                  <c:v>15</c:v>
                </c:pt>
                <c:pt idx="176">
                  <c:v>11</c:v>
                </c:pt>
                <c:pt idx="177">
                  <c:v>13</c:v>
                </c:pt>
                <c:pt idx="178">
                  <c:v>11</c:v>
                </c:pt>
                <c:pt idx="179">
                  <c:v>10</c:v>
                </c:pt>
                <c:pt idx="180">
                  <c:v>18</c:v>
                </c:pt>
                <c:pt idx="181">
                  <c:v>13</c:v>
                </c:pt>
                <c:pt idx="182">
                  <c:v>11</c:v>
                </c:pt>
                <c:pt idx="183">
                  <c:v>13</c:v>
                </c:pt>
                <c:pt idx="184">
                  <c:v>15</c:v>
                </c:pt>
                <c:pt idx="185">
                  <c:v>13</c:v>
                </c:pt>
                <c:pt idx="186">
                  <c:v>7</c:v>
                </c:pt>
                <c:pt idx="187">
                  <c:v>15</c:v>
                </c:pt>
                <c:pt idx="188">
                  <c:v>14</c:v>
                </c:pt>
                <c:pt idx="189">
                  <c:v>14</c:v>
                </c:pt>
                <c:pt idx="190">
                  <c:v>12</c:v>
                </c:pt>
                <c:pt idx="191">
                  <c:v>16</c:v>
                </c:pt>
                <c:pt idx="192">
                  <c:v>18</c:v>
                </c:pt>
                <c:pt idx="193">
                  <c:v>11</c:v>
                </c:pt>
                <c:pt idx="194">
                  <c:v>16</c:v>
                </c:pt>
                <c:pt idx="195">
                  <c:v>12</c:v>
                </c:pt>
                <c:pt idx="196">
                  <c:v>13</c:v>
                </c:pt>
                <c:pt idx="197">
                  <c:v>15</c:v>
                </c:pt>
                <c:pt idx="198">
                  <c:v>12</c:v>
                </c:pt>
                <c:pt idx="199">
                  <c:v>11</c:v>
                </c:pt>
                <c:pt idx="200">
                  <c:v>15</c:v>
                </c:pt>
                <c:pt idx="201">
                  <c:v>11</c:v>
                </c:pt>
                <c:pt idx="202">
                  <c:v>10</c:v>
                </c:pt>
                <c:pt idx="203">
                  <c:v>14</c:v>
                </c:pt>
                <c:pt idx="204">
                  <c:v>8</c:v>
                </c:pt>
                <c:pt idx="205">
                  <c:v>18</c:v>
                </c:pt>
                <c:pt idx="206">
                  <c:v>15</c:v>
                </c:pt>
                <c:pt idx="207">
                  <c:v>9</c:v>
                </c:pt>
                <c:pt idx="208">
                  <c:v>13</c:v>
                </c:pt>
                <c:pt idx="209">
                  <c:v>14</c:v>
                </c:pt>
                <c:pt idx="210">
                  <c:v>12</c:v>
                </c:pt>
                <c:pt idx="211">
                  <c:v>11</c:v>
                </c:pt>
                <c:pt idx="212">
                  <c:v>10</c:v>
                </c:pt>
                <c:pt idx="213">
                  <c:v>15</c:v>
                </c:pt>
                <c:pt idx="214">
                  <c:v>13</c:v>
                </c:pt>
                <c:pt idx="215">
                  <c:v>10</c:v>
                </c:pt>
                <c:pt idx="216">
                  <c:v>13</c:v>
                </c:pt>
                <c:pt idx="217">
                  <c:v>16</c:v>
                </c:pt>
                <c:pt idx="218">
                  <c:v>11</c:v>
                </c:pt>
                <c:pt idx="219">
                  <c:v>0</c:v>
                </c:pt>
                <c:pt idx="220">
                  <c:v>10</c:v>
                </c:pt>
                <c:pt idx="221">
                  <c:v>8</c:v>
                </c:pt>
                <c:pt idx="222">
                  <c:v>17</c:v>
                </c:pt>
                <c:pt idx="223">
                  <c:v>16</c:v>
                </c:pt>
                <c:pt idx="224">
                  <c:v>11</c:v>
                </c:pt>
                <c:pt idx="225">
                  <c:v>15</c:v>
                </c:pt>
                <c:pt idx="226">
                  <c:v>8</c:v>
                </c:pt>
                <c:pt idx="227">
                  <c:v>9</c:v>
                </c:pt>
                <c:pt idx="228">
                  <c:v>13</c:v>
                </c:pt>
                <c:pt idx="229">
                  <c:v>17</c:v>
                </c:pt>
                <c:pt idx="230">
                  <c:v>13</c:v>
                </c:pt>
                <c:pt idx="231">
                  <c:v>11</c:v>
                </c:pt>
                <c:pt idx="232">
                  <c:v>12</c:v>
                </c:pt>
                <c:pt idx="233">
                  <c:v>17</c:v>
                </c:pt>
                <c:pt idx="234">
                  <c:v>9</c:v>
                </c:pt>
                <c:pt idx="235">
                  <c:v>15</c:v>
                </c:pt>
                <c:pt idx="236">
                  <c:v>8</c:v>
                </c:pt>
                <c:pt idx="237">
                  <c:v>10</c:v>
                </c:pt>
                <c:pt idx="238">
                  <c:v>15</c:v>
                </c:pt>
                <c:pt idx="239">
                  <c:v>10</c:v>
                </c:pt>
                <c:pt idx="240">
                  <c:v>11</c:v>
                </c:pt>
                <c:pt idx="241">
                  <c:v>17</c:v>
                </c:pt>
                <c:pt idx="242">
                  <c:v>10</c:v>
                </c:pt>
                <c:pt idx="243">
                  <c:v>12</c:v>
                </c:pt>
                <c:pt idx="244">
                  <c:v>12</c:v>
                </c:pt>
                <c:pt idx="245">
                  <c:v>14</c:v>
                </c:pt>
                <c:pt idx="246">
                  <c:v>11</c:v>
                </c:pt>
                <c:pt idx="247">
                  <c:v>15</c:v>
                </c:pt>
                <c:pt idx="248">
                  <c:v>15</c:v>
                </c:pt>
                <c:pt idx="249">
                  <c:v>8</c:v>
                </c:pt>
                <c:pt idx="250">
                  <c:v>11</c:v>
                </c:pt>
                <c:pt idx="251">
                  <c:v>7</c:v>
                </c:pt>
                <c:pt idx="252">
                  <c:v>14</c:v>
                </c:pt>
                <c:pt idx="253">
                  <c:v>12</c:v>
                </c:pt>
                <c:pt idx="254">
                  <c:v>7</c:v>
                </c:pt>
                <c:pt idx="255">
                  <c:v>13</c:v>
                </c:pt>
                <c:pt idx="256">
                  <c:v>16</c:v>
                </c:pt>
                <c:pt idx="257">
                  <c:v>8</c:v>
                </c:pt>
                <c:pt idx="258">
                  <c:v>15</c:v>
                </c:pt>
                <c:pt idx="259">
                  <c:v>13</c:v>
                </c:pt>
                <c:pt idx="260">
                  <c:v>14</c:v>
                </c:pt>
                <c:pt idx="261">
                  <c:v>15</c:v>
                </c:pt>
                <c:pt idx="262">
                  <c:v>11</c:v>
                </c:pt>
                <c:pt idx="263">
                  <c:v>13</c:v>
                </c:pt>
                <c:pt idx="264">
                  <c:v>11</c:v>
                </c:pt>
                <c:pt idx="265">
                  <c:v>12</c:v>
                </c:pt>
                <c:pt idx="266">
                  <c:v>16</c:v>
                </c:pt>
                <c:pt idx="267">
                  <c:v>13</c:v>
                </c:pt>
                <c:pt idx="268">
                  <c:v>9</c:v>
                </c:pt>
                <c:pt idx="269">
                  <c:v>8</c:v>
                </c:pt>
                <c:pt idx="270">
                  <c:v>13</c:v>
                </c:pt>
                <c:pt idx="271">
                  <c:v>11</c:v>
                </c:pt>
                <c:pt idx="272">
                  <c:v>8</c:v>
                </c:pt>
                <c:pt idx="273">
                  <c:v>11</c:v>
                </c:pt>
                <c:pt idx="274">
                  <c:v>10</c:v>
                </c:pt>
                <c:pt idx="275">
                  <c:v>14</c:v>
                </c:pt>
                <c:pt idx="276">
                  <c:v>16</c:v>
                </c:pt>
                <c:pt idx="277">
                  <c:v>9</c:v>
                </c:pt>
                <c:pt idx="278">
                  <c:v>10</c:v>
                </c:pt>
                <c:pt idx="279">
                  <c:v>14</c:v>
                </c:pt>
                <c:pt idx="280">
                  <c:v>16</c:v>
                </c:pt>
                <c:pt idx="281">
                  <c:v>16</c:v>
                </c:pt>
                <c:pt idx="282">
                  <c:v>8</c:v>
                </c:pt>
                <c:pt idx="283">
                  <c:v>11</c:v>
                </c:pt>
                <c:pt idx="284">
                  <c:v>14</c:v>
                </c:pt>
                <c:pt idx="285">
                  <c:v>10</c:v>
                </c:pt>
                <c:pt idx="286">
                  <c:v>11</c:v>
                </c:pt>
                <c:pt idx="287">
                  <c:v>11</c:v>
                </c:pt>
                <c:pt idx="288">
                  <c:v>14</c:v>
                </c:pt>
                <c:pt idx="289">
                  <c:v>14</c:v>
                </c:pt>
                <c:pt idx="290">
                  <c:v>13</c:v>
                </c:pt>
                <c:pt idx="291">
                  <c:v>12</c:v>
                </c:pt>
                <c:pt idx="292">
                  <c:v>10</c:v>
                </c:pt>
                <c:pt idx="293">
                  <c:v>14</c:v>
                </c:pt>
                <c:pt idx="294">
                  <c:v>12</c:v>
                </c:pt>
                <c:pt idx="295">
                  <c:v>11</c:v>
                </c:pt>
                <c:pt idx="296">
                  <c:v>12</c:v>
                </c:pt>
                <c:pt idx="297">
                  <c:v>11</c:v>
                </c:pt>
                <c:pt idx="298">
                  <c:v>0</c:v>
                </c:pt>
              </c:numCache>
            </c:numRef>
          </c:yVal>
          <c:smooth val="0"/>
          <c:extLst>
            <c:ext xmlns:c16="http://schemas.microsoft.com/office/drawing/2014/chart" uri="{C3380CC4-5D6E-409C-BE32-E72D297353CC}">
              <c16:uniqueId val="{00000000-6A22-3F4D-9F90-555A6DF308B6}"/>
            </c:ext>
          </c:extLst>
        </c:ser>
        <c:dLbls>
          <c:showLegendKey val="0"/>
          <c:showVal val="0"/>
          <c:showCatName val="0"/>
          <c:showSerName val="0"/>
          <c:showPercent val="0"/>
          <c:showBubbleSize val="0"/>
        </c:dLbls>
        <c:axId val="598784447"/>
        <c:axId val="598777727"/>
      </c:scatterChart>
      <c:valAx>
        <c:axId val="5987844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Absences (Days)</a:t>
                </a:r>
                <a:r>
                  <a:rPr lang="en-US" baseline="0"/>
                  <a:t>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777727"/>
        <c:crosses val="autoZero"/>
        <c:crossBetween val="midCat"/>
      </c:valAx>
      <c:valAx>
        <c:axId val="598777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Final</a:t>
                </a:r>
                <a:r>
                  <a:rPr lang="en-US" baseline="0"/>
                  <a:t> Grade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7844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Study Time x Final Grade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'Edited Data'!$H$1</c:f>
              <c:strCache>
                <c:ptCount val="1"/>
                <c:pt idx="0">
                  <c:v>Grade</c:v>
                </c:pt>
              </c:strCache>
            </c:strRef>
          </c:tx>
          <c:spPr>
            <a:ln w="38100" cap="rnd">
              <a:noFill/>
              <a:round/>
            </a:ln>
            <a:effectLst/>
          </c:spPr>
          <c:marker>
            <c:symbol val="circle"/>
            <c:size val="5"/>
            <c:spPr>
              <a:solidFill>
                <a:schemeClr val="accent1"/>
              </a:solidFill>
              <a:ln w="9525">
                <a:solidFill>
                  <a:schemeClr val="accent1"/>
                </a:solidFill>
              </a:ln>
              <a:effectLst/>
            </c:spPr>
          </c:marker>
          <c:xVal>
            <c:numRef>
              <c:f>'Edited Data'!$C$2:$C$300</c:f>
              <c:numCache>
                <c:formatCode>General</c:formatCode>
                <c:ptCount val="299"/>
                <c:pt idx="0">
                  <c:v>2.75</c:v>
                </c:pt>
                <c:pt idx="1">
                  <c:v>3.75</c:v>
                </c:pt>
                <c:pt idx="2">
                  <c:v>0.25</c:v>
                </c:pt>
                <c:pt idx="3">
                  <c:v>2.75</c:v>
                </c:pt>
                <c:pt idx="4">
                  <c:v>0.25</c:v>
                </c:pt>
                <c:pt idx="5">
                  <c:v>3.75</c:v>
                </c:pt>
                <c:pt idx="6">
                  <c:v>7.25</c:v>
                </c:pt>
                <c:pt idx="7">
                  <c:v>4</c:v>
                </c:pt>
                <c:pt idx="8">
                  <c:v>3</c:v>
                </c:pt>
                <c:pt idx="9">
                  <c:v>12.75</c:v>
                </c:pt>
                <c:pt idx="10">
                  <c:v>3.25</c:v>
                </c:pt>
                <c:pt idx="11">
                  <c:v>2.5</c:v>
                </c:pt>
                <c:pt idx="12">
                  <c:v>0.25</c:v>
                </c:pt>
                <c:pt idx="13">
                  <c:v>4.75</c:v>
                </c:pt>
                <c:pt idx="14">
                  <c:v>3</c:v>
                </c:pt>
                <c:pt idx="15">
                  <c:v>14.25</c:v>
                </c:pt>
                <c:pt idx="16">
                  <c:v>3.5</c:v>
                </c:pt>
                <c:pt idx="17">
                  <c:v>2.5</c:v>
                </c:pt>
                <c:pt idx="18">
                  <c:v>1.25</c:v>
                </c:pt>
                <c:pt idx="19">
                  <c:v>1.25</c:v>
                </c:pt>
                <c:pt idx="20">
                  <c:v>2.25</c:v>
                </c:pt>
                <c:pt idx="21">
                  <c:v>4.25</c:v>
                </c:pt>
                <c:pt idx="22">
                  <c:v>3.75</c:v>
                </c:pt>
                <c:pt idx="23">
                  <c:v>1.5</c:v>
                </c:pt>
                <c:pt idx="24">
                  <c:v>4</c:v>
                </c:pt>
                <c:pt idx="25">
                  <c:v>3.75</c:v>
                </c:pt>
                <c:pt idx="26">
                  <c:v>0.75</c:v>
                </c:pt>
                <c:pt idx="27">
                  <c:v>11.75</c:v>
                </c:pt>
                <c:pt idx="28">
                  <c:v>6</c:v>
                </c:pt>
                <c:pt idx="29">
                  <c:v>2</c:v>
                </c:pt>
                <c:pt idx="30">
                  <c:v>4.5</c:v>
                </c:pt>
                <c:pt idx="31">
                  <c:v>3.5</c:v>
                </c:pt>
                <c:pt idx="32">
                  <c:v>1.25</c:v>
                </c:pt>
                <c:pt idx="33">
                  <c:v>2.5</c:v>
                </c:pt>
                <c:pt idx="34">
                  <c:v>4.25</c:v>
                </c:pt>
                <c:pt idx="35">
                  <c:v>2.75</c:v>
                </c:pt>
                <c:pt idx="36">
                  <c:v>6.5</c:v>
                </c:pt>
                <c:pt idx="37">
                  <c:v>3.5</c:v>
                </c:pt>
                <c:pt idx="38">
                  <c:v>0.5</c:v>
                </c:pt>
                <c:pt idx="39">
                  <c:v>0</c:v>
                </c:pt>
                <c:pt idx="40">
                  <c:v>0</c:v>
                </c:pt>
                <c:pt idx="41">
                  <c:v>8.5</c:v>
                </c:pt>
                <c:pt idx="42">
                  <c:v>8.5</c:v>
                </c:pt>
                <c:pt idx="43">
                  <c:v>3</c:v>
                </c:pt>
                <c:pt idx="44">
                  <c:v>0</c:v>
                </c:pt>
                <c:pt idx="45">
                  <c:v>2.25</c:v>
                </c:pt>
                <c:pt idx="46">
                  <c:v>3</c:v>
                </c:pt>
                <c:pt idx="47">
                  <c:v>9.75</c:v>
                </c:pt>
                <c:pt idx="48">
                  <c:v>2.5</c:v>
                </c:pt>
                <c:pt idx="49">
                  <c:v>4</c:v>
                </c:pt>
                <c:pt idx="50">
                  <c:v>0.5</c:v>
                </c:pt>
                <c:pt idx="51">
                  <c:v>0</c:v>
                </c:pt>
                <c:pt idx="52">
                  <c:v>8.25</c:v>
                </c:pt>
                <c:pt idx="53">
                  <c:v>0.25</c:v>
                </c:pt>
                <c:pt idx="54">
                  <c:v>8.75</c:v>
                </c:pt>
                <c:pt idx="55">
                  <c:v>0.75</c:v>
                </c:pt>
                <c:pt idx="56">
                  <c:v>3</c:v>
                </c:pt>
                <c:pt idx="57">
                  <c:v>0</c:v>
                </c:pt>
                <c:pt idx="58">
                  <c:v>5.75</c:v>
                </c:pt>
                <c:pt idx="59">
                  <c:v>2.5</c:v>
                </c:pt>
                <c:pt idx="60">
                  <c:v>0.5</c:v>
                </c:pt>
                <c:pt idx="61">
                  <c:v>0.5</c:v>
                </c:pt>
                <c:pt idx="62">
                  <c:v>3.5</c:v>
                </c:pt>
                <c:pt idx="63">
                  <c:v>4.25</c:v>
                </c:pt>
                <c:pt idx="64">
                  <c:v>2.25</c:v>
                </c:pt>
                <c:pt idx="65">
                  <c:v>1</c:v>
                </c:pt>
                <c:pt idx="66">
                  <c:v>1.25</c:v>
                </c:pt>
                <c:pt idx="67">
                  <c:v>1.5</c:v>
                </c:pt>
                <c:pt idx="68">
                  <c:v>11</c:v>
                </c:pt>
                <c:pt idx="69">
                  <c:v>0.25</c:v>
                </c:pt>
                <c:pt idx="70">
                  <c:v>3.25</c:v>
                </c:pt>
                <c:pt idx="71">
                  <c:v>4.25</c:v>
                </c:pt>
                <c:pt idx="72">
                  <c:v>3.25</c:v>
                </c:pt>
                <c:pt idx="73">
                  <c:v>2.25</c:v>
                </c:pt>
                <c:pt idx="74">
                  <c:v>2</c:v>
                </c:pt>
                <c:pt idx="75">
                  <c:v>1.5</c:v>
                </c:pt>
                <c:pt idx="76">
                  <c:v>5.5</c:v>
                </c:pt>
                <c:pt idx="77">
                  <c:v>3.25</c:v>
                </c:pt>
                <c:pt idx="78">
                  <c:v>4.75</c:v>
                </c:pt>
                <c:pt idx="79">
                  <c:v>0.5</c:v>
                </c:pt>
                <c:pt idx="80">
                  <c:v>2.75</c:v>
                </c:pt>
                <c:pt idx="81">
                  <c:v>5.75</c:v>
                </c:pt>
                <c:pt idx="82">
                  <c:v>1.25</c:v>
                </c:pt>
                <c:pt idx="83">
                  <c:v>3.75</c:v>
                </c:pt>
                <c:pt idx="84">
                  <c:v>2.5</c:v>
                </c:pt>
                <c:pt idx="85">
                  <c:v>3.5</c:v>
                </c:pt>
                <c:pt idx="86">
                  <c:v>9.75</c:v>
                </c:pt>
                <c:pt idx="87">
                  <c:v>0.25</c:v>
                </c:pt>
                <c:pt idx="88">
                  <c:v>3.75</c:v>
                </c:pt>
                <c:pt idx="89">
                  <c:v>1.5</c:v>
                </c:pt>
                <c:pt idx="90">
                  <c:v>14.25</c:v>
                </c:pt>
                <c:pt idx="91">
                  <c:v>2.25</c:v>
                </c:pt>
                <c:pt idx="92">
                  <c:v>3.75</c:v>
                </c:pt>
                <c:pt idx="93">
                  <c:v>4.25</c:v>
                </c:pt>
                <c:pt idx="94">
                  <c:v>4</c:v>
                </c:pt>
                <c:pt idx="95">
                  <c:v>7.5</c:v>
                </c:pt>
                <c:pt idx="96">
                  <c:v>0.75</c:v>
                </c:pt>
                <c:pt idx="97">
                  <c:v>9</c:v>
                </c:pt>
                <c:pt idx="98">
                  <c:v>0.25</c:v>
                </c:pt>
                <c:pt idx="99">
                  <c:v>2.25</c:v>
                </c:pt>
                <c:pt idx="100">
                  <c:v>3</c:v>
                </c:pt>
                <c:pt idx="101">
                  <c:v>6.25</c:v>
                </c:pt>
                <c:pt idx="102">
                  <c:v>0</c:v>
                </c:pt>
                <c:pt idx="103">
                  <c:v>1.25</c:v>
                </c:pt>
                <c:pt idx="104">
                  <c:v>1</c:v>
                </c:pt>
                <c:pt idx="105">
                  <c:v>0.5</c:v>
                </c:pt>
                <c:pt idx="106">
                  <c:v>0.5</c:v>
                </c:pt>
                <c:pt idx="107">
                  <c:v>8.75</c:v>
                </c:pt>
                <c:pt idx="108">
                  <c:v>1</c:v>
                </c:pt>
                <c:pt idx="109">
                  <c:v>0.75</c:v>
                </c:pt>
                <c:pt idx="110">
                  <c:v>4</c:v>
                </c:pt>
                <c:pt idx="111">
                  <c:v>10</c:v>
                </c:pt>
                <c:pt idx="112">
                  <c:v>6</c:v>
                </c:pt>
                <c:pt idx="113">
                  <c:v>3.25</c:v>
                </c:pt>
                <c:pt idx="114">
                  <c:v>0.25</c:v>
                </c:pt>
                <c:pt idx="115">
                  <c:v>1.75</c:v>
                </c:pt>
                <c:pt idx="116">
                  <c:v>5.5</c:v>
                </c:pt>
                <c:pt idx="117">
                  <c:v>2.75</c:v>
                </c:pt>
                <c:pt idx="118">
                  <c:v>0.75</c:v>
                </c:pt>
                <c:pt idx="119">
                  <c:v>3.5</c:v>
                </c:pt>
                <c:pt idx="120">
                  <c:v>7.5</c:v>
                </c:pt>
                <c:pt idx="121">
                  <c:v>1.25</c:v>
                </c:pt>
                <c:pt idx="122">
                  <c:v>2.5</c:v>
                </c:pt>
                <c:pt idx="123">
                  <c:v>2</c:v>
                </c:pt>
                <c:pt idx="124">
                  <c:v>13</c:v>
                </c:pt>
                <c:pt idx="125">
                  <c:v>4.75</c:v>
                </c:pt>
                <c:pt idx="126">
                  <c:v>0</c:v>
                </c:pt>
                <c:pt idx="127">
                  <c:v>2.5</c:v>
                </c:pt>
                <c:pt idx="128">
                  <c:v>1.5</c:v>
                </c:pt>
                <c:pt idx="129">
                  <c:v>1</c:v>
                </c:pt>
                <c:pt idx="130">
                  <c:v>11.5</c:v>
                </c:pt>
                <c:pt idx="131">
                  <c:v>4.5</c:v>
                </c:pt>
                <c:pt idx="132">
                  <c:v>2.25</c:v>
                </c:pt>
                <c:pt idx="133">
                  <c:v>4.25</c:v>
                </c:pt>
                <c:pt idx="134">
                  <c:v>3</c:v>
                </c:pt>
                <c:pt idx="135">
                  <c:v>1.75</c:v>
                </c:pt>
                <c:pt idx="136">
                  <c:v>6.75</c:v>
                </c:pt>
                <c:pt idx="137">
                  <c:v>8.5</c:v>
                </c:pt>
                <c:pt idx="138">
                  <c:v>3.5</c:v>
                </c:pt>
                <c:pt idx="139">
                  <c:v>0.75</c:v>
                </c:pt>
                <c:pt idx="140">
                  <c:v>2</c:v>
                </c:pt>
                <c:pt idx="141">
                  <c:v>4</c:v>
                </c:pt>
                <c:pt idx="142">
                  <c:v>1.25</c:v>
                </c:pt>
                <c:pt idx="143">
                  <c:v>1</c:v>
                </c:pt>
                <c:pt idx="144">
                  <c:v>2</c:v>
                </c:pt>
                <c:pt idx="145">
                  <c:v>0</c:v>
                </c:pt>
                <c:pt idx="146">
                  <c:v>0.5</c:v>
                </c:pt>
                <c:pt idx="147">
                  <c:v>4</c:v>
                </c:pt>
                <c:pt idx="148">
                  <c:v>0</c:v>
                </c:pt>
                <c:pt idx="149">
                  <c:v>4</c:v>
                </c:pt>
                <c:pt idx="150">
                  <c:v>4.75</c:v>
                </c:pt>
                <c:pt idx="151">
                  <c:v>1.25</c:v>
                </c:pt>
                <c:pt idx="152">
                  <c:v>2</c:v>
                </c:pt>
                <c:pt idx="153">
                  <c:v>4.75</c:v>
                </c:pt>
                <c:pt idx="154">
                  <c:v>1.25</c:v>
                </c:pt>
                <c:pt idx="155">
                  <c:v>0.25</c:v>
                </c:pt>
                <c:pt idx="156">
                  <c:v>4.5</c:v>
                </c:pt>
                <c:pt idx="157">
                  <c:v>8.5</c:v>
                </c:pt>
                <c:pt idx="158">
                  <c:v>14.75</c:v>
                </c:pt>
                <c:pt idx="159">
                  <c:v>0.75</c:v>
                </c:pt>
                <c:pt idx="160">
                  <c:v>0.5</c:v>
                </c:pt>
                <c:pt idx="161">
                  <c:v>3</c:v>
                </c:pt>
                <c:pt idx="162">
                  <c:v>0.75</c:v>
                </c:pt>
                <c:pt idx="163">
                  <c:v>4.25</c:v>
                </c:pt>
                <c:pt idx="164">
                  <c:v>8.25</c:v>
                </c:pt>
                <c:pt idx="165">
                  <c:v>0.5</c:v>
                </c:pt>
                <c:pt idx="166">
                  <c:v>0.75</c:v>
                </c:pt>
                <c:pt idx="167">
                  <c:v>4.25</c:v>
                </c:pt>
                <c:pt idx="168">
                  <c:v>0.75</c:v>
                </c:pt>
                <c:pt idx="169">
                  <c:v>9.25</c:v>
                </c:pt>
                <c:pt idx="170">
                  <c:v>2.25</c:v>
                </c:pt>
                <c:pt idx="171">
                  <c:v>0</c:v>
                </c:pt>
                <c:pt idx="172">
                  <c:v>9.5</c:v>
                </c:pt>
                <c:pt idx="173">
                  <c:v>10.25</c:v>
                </c:pt>
                <c:pt idx="174">
                  <c:v>10.75</c:v>
                </c:pt>
                <c:pt idx="175">
                  <c:v>0.75</c:v>
                </c:pt>
                <c:pt idx="176">
                  <c:v>7.75</c:v>
                </c:pt>
                <c:pt idx="177">
                  <c:v>1</c:v>
                </c:pt>
                <c:pt idx="178">
                  <c:v>2.75</c:v>
                </c:pt>
                <c:pt idx="179">
                  <c:v>1</c:v>
                </c:pt>
                <c:pt idx="180">
                  <c:v>3.25</c:v>
                </c:pt>
                <c:pt idx="181">
                  <c:v>15</c:v>
                </c:pt>
                <c:pt idx="182">
                  <c:v>2.75</c:v>
                </c:pt>
                <c:pt idx="183">
                  <c:v>3.25</c:v>
                </c:pt>
                <c:pt idx="184">
                  <c:v>8</c:v>
                </c:pt>
                <c:pt idx="185">
                  <c:v>2.5</c:v>
                </c:pt>
                <c:pt idx="186">
                  <c:v>0.5</c:v>
                </c:pt>
                <c:pt idx="187">
                  <c:v>3.5</c:v>
                </c:pt>
                <c:pt idx="188">
                  <c:v>4.25</c:v>
                </c:pt>
                <c:pt idx="189">
                  <c:v>1</c:v>
                </c:pt>
                <c:pt idx="190">
                  <c:v>4</c:v>
                </c:pt>
                <c:pt idx="191">
                  <c:v>3.75</c:v>
                </c:pt>
                <c:pt idx="192">
                  <c:v>0.25</c:v>
                </c:pt>
                <c:pt idx="193">
                  <c:v>1.75</c:v>
                </c:pt>
                <c:pt idx="194">
                  <c:v>4.25</c:v>
                </c:pt>
                <c:pt idx="195">
                  <c:v>3.75</c:v>
                </c:pt>
                <c:pt idx="196">
                  <c:v>5.25</c:v>
                </c:pt>
                <c:pt idx="197">
                  <c:v>4.75</c:v>
                </c:pt>
                <c:pt idx="198">
                  <c:v>4</c:v>
                </c:pt>
                <c:pt idx="199">
                  <c:v>1.75</c:v>
                </c:pt>
                <c:pt idx="200">
                  <c:v>6.75</c:v>
                </c:pt>
                <c:pt idx="201">
                  <c:v>1.5</c:v>
                </c:pt>
                <c:pt idx="202">
                  <c:v>3</c:v>
                </c:pt>
                <c:pt idx="203">
                  <c:v>1.75</c:v>
                </c:pt>
                <c:pt idx="204">
                  <c:v>4.5</c:v>
                </c:pt>
                <c:pt idx="205">
                  <c:v>9.5</c:v>
                </c:pt>
                <c:pt idx="206">
                  <c:v>3.25</c:v>
                </c:pt>
                <c:pt idx="207">
                  <c:v>1.5</c:v>
                </c:pt>
                <c:pt idx="208">
                  <c:v>12</c:v>
                </c:pt>
                <c:pt idx="209">
                  <c:v>1.75</c:v>
                </c:pt>
                <c:pt idx="210">
                  <c:v>1.75</c:v>
                </c:pt>
                <c:pt idx="211">
                  <c:v>4.75</c:v>
                </c:pt>
                <c:pt idx="212">
                  <c:v>1.75</c:v>
                </c:pt>
                <c:pt idx="213">
                  <c:v>4</c:v>
                </c:pt>
                <c:pt idx="214">
                  <c:v>6.5</c:v>
                </c:pt>
                <c:pt idx="215">
                  <c:v>9.5</c:v>
                </c:pt>
                <c:pt idx="216">
                  <c:v>4.75</c:v>
                </c:pt>
                <c:pt idx="217">
                  <c:v>2.5</c:v>
                </c:pt>
                <c:pt idx="218">
                  <c:v>4.75</c:v>
                </c:pt>
                <c:pt idx="219">
                  <c:v>0.75</c:v>
                </c:pt>
                <c:pt idx="220">
                  <c:v>4.75</c:v>
                </c:pt>
                <c:pt idx="221">
                  <c:v>0.5</c:v>
                </c:pt>
                <c:pt idx="222">
                  <c:v>2.75</c:v>
                </c:pt>
                <c:pt idx="223">
                  <c:v>0.75</c:v>
                </c:pt>
                <c:pt idx="224">
                  <c:v>3.5</c:v>
                </c:pt>
                <c:pt idx="225">
                  <c:v>2.5</c:v>
                </c:pt>
                <c:pt idx="226">
                  <c:v>8.5</c:v>
                </c:pt>
                <c:pt idx="227">
                  <c:v>3.25</c:v>
                </c:pt>
                <c:pt idx="228">
                  <c:v>2.25</c:v>
                </c:pt>
                <c:pt idx="229">
                  <c:v>3.5</c:v>
                </c:pt>
                <c:pt idx="230">
                  <c:v>0</c:v>
                </c:pt>
                <c:pt idx="231">
                  <c:v>2.5</c:v>
                </c:pt>
                <c:pt idx="232">
                  <c:v>3</c:v>
                </c:pt>
                <c:pt idx="233">
                  <c:v>1.5</c:v>
                </c:pt>
                <c:pt idx="234">
                  <c:v>3.5</c:v>
                </c:pt>
                <c:pt idx="235">
                  <c:v>1.5</c:v>
                </c:pt>
                <c:pt idx="236">
                  <c:v>3.5</c:v>
                </c:pt>
                <c:pt idx="237">
                  <c:v>0</c:v>
                </c:pt>
                <c:pt idx="238">
                  <c:v>6.75</c:v>
                </c:pt>
                <c:pt idx="239">
                  <c:v>0.25</c:v>
                </c:pt>
                <c:pt idx="240">
                  <c:v>4.75</c:v>
                </c:pt>
                <c:pt idx="241">
                  <c:v>13.25</c:v>
                </c:pt>
                <c:pt idx="242">
                  <c:v>3.25</c:v>
                </c:pt>
                <c:pt idx="243">
                  <c:v>13.25</c:v>
                </c:pt>
                <c:pt idx="244">
                  <c:v>0.5</c:v>
                </c:pt>
                <c:pt idx="245">
                  <c:v>4.75</c:v>
                </c:pt>
                <c:pt idx="246">
                  <c:v>0.25</c:v>
                </c:pt>
                <c:pt idx="247">
                  <c:v>0</c:v>
                </c:pt>
                <c:pt idx="248">
                  <c:v>4.5</c:v>
                </c:pt>
                <c:pt idx="249">
                  <c:v>3.75</c:v>
                </c:pt>
                <c:pt idx="250">
                  <c:v>13.75</c:v>
                </c:pt>
                <c:pt idx="251">
                  <c:v>0.25</c:v>
                </c:pt>
                <c:pt idx="252">
                  <c:v>13</c:v>
                </c:pt>
                <c:pt idx="253">
                  <c:v>3</c:v>
                </c:pt>
                <c:pt idx="254">
                  <c:v>0.75</c:v>
                </c:pt>
                <c:pt idx="255">
                  <c:v>3</c:v>
                </c:pt>
                <c:pt idx="256">
                  <c:v>3.75</c:v>
                </c:pt>
                <c:pt idx="257">
                  <c:v>3.75</c:v>
                </c:pt>
                <c:pt idx="258">
                  <c:v>8.75</c:v>
                </c:pt>
                <c:pt idx="259">
                  <c:v>4</c:v>
                </c:pt>
                <c:pt idx="260">
                  <c:v>1.25</c:v>
                </c:pt>
                <c:pt idx="261">
                  <c:v>4.5</c:v>
                </c:pt>
                <c:pt idx="262">
                  <c:v>3.5</c:v>
                </c:pt>
                <c:pt idx="263">
                  <c:v>2</c:v>
                </c:pt>
                <c:pt idx="264">
                  <c:v>4.75</c:v>
                </c:pt>
                <c:pt idx="265">
                  <c:v>4</c:v>
                </c:pt>
                <c:pt idx="266">
                  <c:v>3</c:v>
                </c:pt>
                <c:pt idx="267">
                  <c:v>0.75</c:v>
                </c:pt>
                <c:pt idx="268">
                  <c:v>0.25</c:v>
                </c:pt>
                <c:pt idx="269">
                  <c:v>1.75</c:v>
                </c:pt>
                <c:pt idx="270">
                  <c:v>0</c:v>
                </c:pt>
                <c:pt idx="271">
                  <c:v>0.5</c:v>
                </c:pt>
                <c:pt idx="272">
                  <c:v>1.25</c:v>
                </c:pt>
                <c:pt idx="273">
                  <c:v>5</c:v>
                </c:pt>
                <c:pt idx="274">
                  <c:v>1</c:v>
                </c:pt>
                <c:pt idx="275">
                  <c:v>9.25</c:v>
                </c:pt>
                <c:pt idx="276">
                  <c:v>3.25</c:v>
                </c:pt>
                <c:pt idx="277">
                  <c:v>1.5</c:v>
                </c:pt>
                <c:pt idx="278">
                  <c:v>1</c:v>
                </c:pt>
                <c:pt idx="279">
                  <c:v>8.25</c:v>
                </c:pt>
                <c:pt idx="280">
                  <c:v>4.25</c:v>
                </c:pt>
                <c:pt idx="281">
                  <c:v>0.75</c:v>
                </c:pt>
                <c:pt idx="282">
                  <c:v>7</c:v>
                </c:pt>
                <c:pt idx="283">
                  <c:v>6.75</c:v>
                </c:pt>
                <c:pt idx="284">
                  <c:v>7.25</c:v>
                </c:pt>
                <c:pt idx="285">
                  <c:v>2.5</c:v>
                </c:pt>
                <c:pt idx="286">
                  <c:v>1</c:v>
                </c:pt>
                <c:pt idx="287">
                  <c:v>0.5</c:v>
                </c:pt>
                <c:pt idx="288">
                  <c:v>2.5</c:v>
                </c:pt>
                <c:pt idx="289">
                  <c:v>0</c:v>
                </c:pt>
                <c:pt idx="290">
                  <c:v>4.25</c:v>
                </c:pt>
                <c:pt idx="291">
                  <c:v>3.75</c:v>
                </c:pt>
                <c:pt idx="292">
                  <c:v>4</c:v>
                </c:pt>
                <c:pt idx="293">
                  <c:v>4.25</c:v>
                </c:pt>
                <c:pt idx="294">
                  <c:v>1.5</c:v>
                </c:pt>
                <c:pt idx="295">
                  <c:v>1.75</c:v>
                </c:pt>
                <c:pt idx="296">
                  <c:v>6</c:v>
                </c:pt>
                <c:pt idx="297">
                  <c:v>9.25</c:v>
                </c:pt>
                <c:pt idx="298">
                  <c:v>4.25</c:v>
                </c:pt>
              </c:numCache>
            </c:numRef>
          </c:xVal>
          <c:yVal>
            <c:numRef>
              <c:f>'Edited Data'!$H$2:$H$300</c:f>
              <c:numCache>
                <c:formatCode>General</c:formatCode>
                <c:ptCount val="299"/>
                <c:pt idx="0">
                  <c:v>10</c:v>
                </c:pt>
                <c:pt idx="1">
                  <c:v>0</c:v>
                </c:pt>
                <c:pt idx="2">
                  <c:v>13</c:v>
                </c:pt>
                <c:pt idx="3">
                  <c:v>11</c:v>
                </c:pt>
                <c:pt idx="4">
                  <c:v>10</c:v>
                </c:pt>
                <c:pt idx="5">
                  <c:v>15</c:v>
                </c:pt>
                <c:pt idx="6">
                  <c:v>15</c:v>
                </c:pt>
                <c:pt idx="7">
                  <c:v>12</c:v>
                </c:pt>
                <c:pt idx="8">
                  <c:v>14</c:v>
                </c:pt>
                <c:pt idx="9">
                  <c:v>12</c:v>
                </c:pt>
                <c:pt idx="10">
                  <c:v>17</c:v>
                </c:pt>
                <c:pt idx="11">
                  <c:v>0</c:v>
                </c:pt>
                <c:pt idx="12">
                  <c:v>10</c:v>
                </c:pt>
                <c:pt idx="13">
                  <c:v>14</c:v>
                </c:pt>
                <c:pt idx="14">
                  <c:v>7</c:v>
                </c:pt>
                <c:pt idx="15">
                  <c:v>15</c:v>
                </c:pt>
                <c:pt idx="16">
                  <c:v>11</c:v>
                </c:pt>
                <c:pt idx="17">
                  <c:v>13</c:v>
                </c:pt>
                <c:pt idx="18">
                  <c:v>12</c:v>
                </c:pt>
                <c:pt idx="19">
                  <c:v>11</c:v>
                </c:pt>
                <c:pt idx="20">
                  <c:v>16</c:v>
                </c:pt>
                <c:pt idx="21">
                  <c:v>12</c:v>
                </c:pt>
                <c:pt idx="22">
                  <c:v>13</c:v>
                </c:pt>
                <c:pt idx="23">
                  <c:v>11</c:v>
                </c:pt>
                <c:pt idx="24">
                  <c:v>15</c:v>
                </c:pt>
                <c:pt idx="25">
                  <c:v>8</c:v>
                </c:pt>
                <c:pt idx="26">
                  <c:v>9</c:v>
                </c:pt>
                <c:pt idx="27">
                  <c:v>10</c:v>
                </c:pt>
                <c:pt idx="28">
                  <c:v>9</c:v>
                </c:pt>
                <c:pt idx="29">
                  <c:v>12</c:v>
                </c:pt>
                <c:pt idx="30">
                  <c:v>14</c:v>
                </c:pt>
                <c:pt idx="31">
                  <c:v>11</c:v>
                </c:pt>
                <c:pt idx="32">
                  <c:v>9</c:v>
                </c:pt>
                <c:pt idx="33">
                  <c:v>18</c:v>
                </c:pt>
                <c:pt idx="34">
                  <c:v>11</c:v>
                </c:pt>
                <c:pt idx="35">
                  <c:v>16</c:v>
                </c:pt>
                <c:pt idx="36">
                  <c:v>12</c:v>
                </c:pt>
                <c:pt idx="37">
                  <c:v>13</c:v>
                </c:pt>
                <c:pt idx="38">
                  <c:v>10</c:v>
                </c:pt>
                <c:pt idx="39">
                  <c:v>9</c:v>
                </c:pt>
                <c:pt idx="40">
                  <c:v>14</c:v>
                </c:pt>
                <c:pt idx="41">
                  <c:v>9</c:v>
                </c:pt>
                <c:pt idx="42">
                  <c:v>15</c:v>
                </c:pt>
                <c:pt idx="43">
                  <c:v>16</c:v>
                </c:pt>
                <c:pt idx="44">
                  <c:v>10</c:v>
                </c:pt>
                <c:pt idx="45">
                  <c:v>11</c:v>
                </c:pt>
                <c:pt idx="46">
                  <c:v>10</c:v>
                </c:pt>
                <c:pt idx="47">
                  <c:v>16</c:v>
                </c:pt>
                <c:pt idx="48">
                  <c:v>13</c:v>
                </c:pt>
                <c:pt idx="49">
                  <c:v>11</c:v>
                </c:pt>
                <c:pt idx="50">
                  <c:v>17</c:v>
                </c:pt>
                <c:pt idx="51">
                  <c:v>17</c:v>
                </c:pt>
                <c:pt idx="52">
                  <c:v>12</c:v>
                </c:pt>
                <c:pt idx="53">
                  <c:v>15</c:v>
                </c:pt>
                <c:pt idx="54">
                  <c:v>14</c:v>
                </c:pt>
                <c:pt idx="55">
                  <c:v>10</c:v>
                </c:pt>
                <c:pt idx="56">
                  <c:v>10</c:v>
                </c:pt>
                <c:pt idx="57">
                  <c:v>13</c:v>
                </c:pt>
                <c:pt idx="58">
                  <c:v>10</c:v>
                </c:pt>
                <c:pt idx="59">
                  <c:v>13</c:v>
                </c:pt>
                <c:pt idx="60">
                  <c:v>11</c:v>
                </c:pt>
                <c:pt idx="61">
                  <c:v>11</c:v>
                </c:pt>
                <c:pt idx="62">
                  <c:v>12</c:v>
                </c:pt>
                <c:pt idx="63">
                  <c:v>10</c:v>
                </c:pt>
                <c:pt idx="64">
                  <c:v>16</c:v>
                </c:pt>
                <c:pt idx="65">
                  <c:v>10</c:v>
                </c:pt>
                <c:pt idx="66">
                  <c:v>10</c:v>
                </c:pt>
                <c:pt idx="67">
                  <c:v>11</c:v>
                </c:pt>
                <c:pt idx="68">
                  <c:v>16</c:v>
                </c:pt>
                <c:pt idx="69">
                  <c:v>0</c:v>
                </c:pt>
                <c:pt idx="70">
                  <c:v>10</c:v>
                </c:pt>
                <c:pt idx="71">
                  <c:v>15</c:v>
                </c:pt>
                <c:pt idx="72">
                  <c:v>16</c:v>
                </c:pt>
                <c:pt idx="73">
                  <c:v>12</c:v>
                </c:pt>
                <c:pt idx="74">
                  <c:v>11</c:v>
                </c:pt>
                <c:pt idx="75">
                  <c:v>12</c:v>
                </c:pt>
                <c:pt idx="76">
                  <c:v>12</c:v>
                </c:pt>
                <c:pt idx="77">
                  <c:v>12</c:v>
                </c:pt>
                <c:pt idx="78">
                  <c:v>15</c:v>
                </c:pt>
                <c:pt idx="79">
                  <c:v>12</c:v>
                </c:pt>
                <c:pt idx="80">
                  <c:v>8</c:v>
                </c:pt>
                <c:pt idx="81">
                  <c:v>11</c:v>
                </c:pt>
                <c:pt idx="82">
                  <c:v>11</c:v>
                </c:pt>
                <c:pt idx="83">
                  <c:v>16</c:v>
                </c:pt>
                <c:pt idx="84">
                  <c:v>12</c:v>
                </c:pt>
                <c:pt idx="85">
                  <c:v>13</c:v>
                </c:pt>
                <c:pt idx="86">
                  <c:v>13</c:v>
                </c:pt>
                <c:pt idx="87">
                  <c:v>9</c:v>
                </c:pt>
                <c:pt idx="88">
                  <c:v>8</c:v>
                </c:pt>
                <c:pt idx="89">
                  <c:v>10</c:v>
                </c:pt>
                <c:pt idx="90">
                  <c:v>13</c:v>
                </c:pt>
                <c:pt idx="91">
                  <c:v>10</c:v>
                </c:pt>
                <c:pt idx="92">
                  <c:v>13</c:v>
                </c:pt>
                <c:pt idx="93">
                  <c:v>16</c:v>
                </c:pt>
                <c:pt idx="94">
                  <c:v>13</c:v>
                </c:pt>
                <c:pt idx="95">
                  <c:v>17</c:v>
                </c:pt>
                <c:pt idx="96">
                  <c:v>10</c:v>
                </c:pt>
                <c:pt idx="97">
                  <c:v>13</c:v>
                </c:pt>
                <c:pt idx="98">
                  <c:v>10</c:v>
                </c:pt>
                <c:pt idx="99">
                  <c:v>10</c:v>
                </c:pt>
                <c:pt idx="100">
                  <c:v>17</c:v>
                </c:pt>
                <c:pt idx="101">
                  <c:v>17</c:v>
                </c:pt>
                <c:pt idx="102">
                  <c:v>12</c:v>
                </c:pt>
                <c:pt idx="103">
                  <c:v>12</c:v>
                </c:pt>
                <c:pt idx="104">
                  <c:v>15</c:v>
                </c:pt>
                <c:pt idx="105">
                  <c:v>11</c:v>
                </c:pt>
                <c:pt idx="106">
                  <c:v>12</c:v>
                </c:pt>
                <c:pt idx="107">
                  <c:v>14</c:v>
                </c:pt>
                <c:pt idx="108">
                  <c:v>9</c:v>
                </c:pt>
                <c:pt idx="109">
                  <c:v>12</c:v>
                </c:pt>
                <c:pt idx="110">
                  <c:v>12</c:v>
                </c:pt>
                <c:pt idx="111">
                  <c:v>17</c:v>
                </c:pt>
                <c:pt idx="112">
                  <c:v>8</c:v>
                </c:pt>
                <c:pt idx="113">
                  <c:v>12</c:v>
                </c:pt>
                <c:pt idx="114">
                  <c:v>11</c:v>
                </c:pt>
                <c:pt idx="115">
                  <c:v>10</c:v>
                </c:pt>
                <c:pt idx="116">
                  <c:v>18</c:v>
                </c:pt>
                <c:pt idx="117">
                  <c:v>14</c:v>
                </c:pt>
                <c:pt idx="118">
                  <c:v>12</c:v>
                </c:pt>
                <c:pt idx="119">
                  <c:v>11</c:v>
                </c:pt>
                <c:pt idx="120">
                  <c:v>17</c:v>
                </c:pt>
                <c:pt idx="121">
                  <c:v>7</c:v>
                </c:pt>
                <c:pt idx="122">
                  <c:v>9</c:v>
                </c:pt>
                <c:pt idx="123">
                  <c:v>14</c:v>
                </c:pt>
                <c:pt idx="124">
                  <c:v>19</c:v>
                </c:pt>
                <c:pt idx="125">
                  <c:v>16</c:v>
                </c:pt>
                <c:pt idx="126">
                  <c:v>10</c:v>
                </c:pt>
                <c:pt idx="127">
                  <c:v>9</c:v>
                </c:pt>
                <c:pt idx="128">
                  <c:v>8</c:v>
                </c:pt>
                <c:pt idx="129">
                  <c:v>13</c:v>
                </c:pt>
                <c:pt idx="130">
                  <c:v>12</c:v>
                </c:pt>
                <c:pt idx="131">
                  <c:v>10</c:v>
                </c:pt>
                <c:pt idx="132">
                  <c:v>15</c:v>
                </c:pt>
                <c:pt idx="133">
                  <c:v>14</c:v>
                </c:pt>
                <c:pt idx="134">
                  <c:v>9</c:v>
                </c:pt>
                <c:pt idx="135">
                  <c:v>11</c:v>
                </c:pt>
                <c:pt idx="136">
                  <c:v>12</c:v>
                </c:pt>
                <c:pt idx="137">
                  <c:v>18</c:v>
                </c:pt>
                <c:pt idx="138">
                  <c:v>18</c:v>
                </c:pt>
                <c:pt idx="139">
                  <c:v>15</c:v>
                </c:pt>
                <c:pt idx="140">
                  <c:v>17</c:v>
                </c:pt>
                <c:pt idx="141">
                  <c:v>11</c:v>
                </c:pt>
                <c:pt idx="142">
                  <c:v>14</c:v>
                </c:pt>
                <c:pt idx="143">
                  <c:v>12</c:v>
                </c:pt>
                <c:pt idx="144">
                  <c:v>14</c:v>
                </c:pt>
                <c:pt idx="145">
                  <c:v>9</c:v>
                </c:pt>
                <c:pt idx="146">
                  <c:v>6</c:v>
                </c:pt>
                <c:pt idx="147">
                  <c:v>11</c:v>
                </c:pt>
                <c:pt idx="148">
                  <c:v>10</c:v>
                </c:pt>
                <c:pt idx="149">
                  <c:v>8</c:v>
                </c:pt>
                <c:pt idx="150">
                  <c:v>12</c:v>
                </c:pt>
                <c:pt idx="151">
                  <c:v>10</c:v>
                </c:pt>
                <c:pt idx="152">
                  <c:v>14</c:v>
                </c:pt>
                <c:pt idx="153">
                  <c:v>12</c:v>
                </c:pt>
                <c:pt idx="154">
                  <c:v>10</c:v>
                </c:pt>
                <c:pt idx="155">
                  <c:v>8</c:v>
                </c:pt>
                <c:pt idx="156">
                  <c:v>10</c:v>
                </c:pt>
                <c:pt idx="157">
                  <c:v>10</c:v>
                </c:pt>
                <c:pt idx="158">
                  <c:v>15</c:v>
                </c:pt>
                <c:pt idx="159">
                  <c:v>10</c:v>
                </c:pt>
                <c:pt idx="160">
                  <c:v>15</c:v>
                </c:pt>
                <c:pt idx="161">
                  <c:v>10</c:v>
                </c:pt>
                <c:pt idx="162">
                  <c:v>13</c:v>
                </c:pt>
                <c:pt idx="163">
                  <c:v>12</c:v>
                </c:pt>
                <c:pt idx="164">
                  <c:v>12</c:v>
                </c:pt>
                <c:pt idx="165">
                  <c:v>8</c:v>
                </c:pt>
                <c:pt idx="166">
                  <c:v>11</c:v>
                </c:pt>
                <c:pt idx="167">
                  <c:v>10</c:v>
                </c:pt>
                <c:pt idx="168">
                  <c:v>9</c:v>
                </c:pt>
                <c:pt idx="169">
                  <c:v>11</c:v>
                </c:pt>
                <c:pt idx="170">
                  <c:v>11</c:v>
                </c:pt>
                <c:pt idx="171">
                  <c:v>13</c:v>
                </c:pt>
                <c:pt idx="172">
                  <c:v>11</c:v>
                </c:pt>
                <c:pt idx="173">
                  <c:v>14</c:v>
                </c:pt>
                <c:pt idx="174">
                  <c:v>11</c:v>
                </c:pt>
                <c:pt idx="175">
                  <c:v>15</c:v>
                </c:pt>
                <c:pt idx="176">
                  <c:v>11</c:v>
                </c:pt>
                <c:pt idx="177">
                  <c:v>13</c:v>
                </c:pt>
                <c:pt idx="178">
                  <c:v>11</c:v>
                </c:pt>
                <c:pt idx="179">
                  <c:v>10</c:v>
                </c:pt>
                <c:pt idx="180">
                  <c:v>18</c:v>
                </c:pt>
                <c:pt idx="181">
                  <c:v>13</c:v>
                </c:pt>
                <c:pt idx="182">
                  <c:v>11</c:v>
                </c:pt>
                <c:pt idx="183">
                  <c:v>13</c:v>
                </c:pt>
                <c:pt idx="184">
                  <c:v>15</c:v>
                </c:pt>
                <c:pt idx="185">
                  <c:v>13</c:v>
                </c:pt>
                <c:pt idx="186">
                  <c:v>7</c:v>
                </c:pt>
                <c:pt idx="187">
                  <c:v>15</c:v>
                </c:pt>
                <c:pt idx="188">
                  <c:v>14</c:v>
                </c:pt>
                <c:pt idx="189">
                  <c:v>14</c:v>
                </c:pt>
                <c:pt idx="190">
                  <c:v>12</c:v>
                </c:pt>
                <c:pt idx="191">
                  <c:v>16</c:v>
                </c:pt>
                <c:pt idx="192">
                  <c:v>18</c:v>
                </c:pt>
                <c:pt idx="193">
                  <c:v>11</c:v>
                </c:pt>
                <c:pt idx="194">
                  <c:v>16</c:v>
                </c:pt>
                <c:pt idx="195">
                  <c:v>12</c:v>
                </c:pt>
                <c:pt idx="196">
                  <c:v>13</c:v>
                </c:pt>
                <c:pt idx="197">
                  <c:v>15</c:v>
                </c:pt>
                <c:pt idx="198">
                  <c:v>12</c:v>
                </c:pt>
                <c:pt idx="199">
                  <c:v>11</c:v>
                </c:pt>
                <c:pt idx="200">
                  <c:v>15</c:v>
                </c:pt>
                <c:pt idx="201">
                  <c:v>11</c:v>
                </c:pt>
                <c:pt idx="202">
                  <c:v>10</c:v>
                </c:pt>
                <c:pt idx="203">
                  <c:v>14</c:v>
                </c:pt>
                <c:pt idx="204">
                  <c:v>8</c:v>
                </c:pt>
                <c:pt idx="205">
                  <c:v>18</c:v>
                </c:pt>
                <c:pt idx="206">
                  <c:v>15</c:v>
                </c:pt>
                <c:pt idx="207">
                  <c:v>9</c:v>
                </c:pt>
                <c:pt idx="208">
                  <c:v>13</c:v>
                </c:pt>
                <c:pt idx="209">
                  <c:v>14</c:v>
                </c:pt>
                <c:pt idx="210">
                  <c:v>12</c:v>
                </c:pt>
                <c:pt idx="211">
                  <c:v>11</c:v>
                </c:pt>
                <c:pt idx="212">
                  <c:v>10</c:v>
                </c:pt>
                <c:pt idx="213">
                  <c:v>15</c:v>
                </c:pt>
                <c:pt idx="214">
                  <c:v>13</c:v>
                </c:pt>
                <c:pt idx="215">
                  <c:v>10</c:v>
                </c:pt>
                <c:pt idx="216">
                  <c:v>13</c:v>
                </c:pt>
                <c:pt idx="217">
                  <c:v>16</c:v>
                </c:pt>
                <c:pt idx="218">
                  <c:v>11</c:v>
                </c:pt>
                <c:pt idx="219">
                  <c:v>0</c:v>
                </c:pt>
                <c:pt idx="220">
                  <c:v>10</c:v>
                </c:pt>
                <c:pt idx="221">
                  <c:v>8</c:v>
                </c:pt>
                <c:pt idx="222">
                  <c:v>17</c:v>
                </c:pt>
                <c:pt idx="223">
                  <c:v>16</c:v>
                </c:pt>
                <c:pt idx="224">
                  <c:v>11</c:v>
                </c:pt>
                <c:pt idx="225">
                  <c:v>15</c:v>
                </c:pt>
                <c:pt idx="226">
                  <c:v>8</c:v>
                </c:pt>
                <c:pt idx="227">
                  <c:v>9</c:v>
                </c:pt>
                <c:pt idx="228">
                  <c:v>13</c:v>
                </c:pt>
                <c:pt idx="229">
                  <c:v>17</c:v>
                </c:pt>
                <c:pt idx="230">
                  <c:v>13</c:v>
                </c:pt>
                <c:pt idx="231">
                  <c:v>11</c:v>
                </c:pt>
                <c:pt idx="232">
                  <c:v>12</c:v>
                </c:pt>
                <c:pt idx="233">
                  <c:v>17</c:v>
                </c:pt>
                <c:pt idx="234">
                  <c:v>9</c:v>
                </c:pt>
                <c:pt idx="235">
                  <c:v>15</c:v>
                </c:pt>
                <c:pt idx="236">
                  <c:v>8</c:v>
                </c:pt>
                <c:pt idx="237">
                  <c:v>10</c:v>
                </c:pt>
                <c:pt idx="238">
                  <c:v>15</c:v>
                </c:pt>
                <c:pt idx="239">
                  <c:v>10</c:v>
                </c:pt>
                <c:pt idx="240">
                  <c:v>11</c:v>
                </c:pt>
                <c:pt idx="241">
                  <c:v>17</c:v>
                </c:pt>
                <c:pt idx="242">
                  <c:v>10</c:v>
                </c:pt>
                <c:pt idx="243">
                  <c:v>12</c:v>
                </c:pt>
                <c:pt idx="244">
                  <c:v>12</c:v>
                </c:pt>
                <c:pt idx="245">
                  <c:v>14</c:v>
                </c:pt>
                <c:pt idx="246">
                  <c:v>11</c:v>
                </c:pt>
                <c:pt idx="247">
                  <c:v>15</c:v>
                </c:pt>
                <c:pt idx="248">
                  <c:v>15</c:v>
                </c:pt>
                <c:pt idx="249">
                  <c:v>8</c:v>
                </c:pt>
                <c:pt idx="250">
                  <c:v>11</c:v>
                </c:pt>
                <c:pt idx="251">
                  <c:v>7</c:v>
                </c:pt>
                <c:pt idx="252">
                  <c:v>14</c:v>
                </c:pt>
                <c:pt idx="253">
                  <c:v>12</c:v>
                </c:pt>
                <c:pt idx="254">
                  <c:v>7</c:v>
                </c:pt>
                <c:pt idx="255">
                  <c:v>13</c:v>
                </c:pt>
                <c:pt idx="256">
                  <c:v>16</c:v>
                </c:pt>
                <c:pt idx="257">
                  <c:v>8</c:v>
                </c:pt>
                <c:pt idx="258">
                  <c:v>15</c:v>
                </c:pt>
                <c:pt idx="259">
                  <c:v>13</c:v>
                </c:pt>
                <c:pt idx="260">
                  <c:v>14</c:v>
                </c:pt>
                <c:pt idx="261">
                  <c:v>15</c:v>
                </c:pt>
                <c:pt idx="262">
                  <c:v>11</c:v>
                </c:pt>
                <c:pt idx="263">
                  <c:v>13</c:v>
                </c:pt>
                <c:pt idx="264">
                  <c:v>11</c:v>
                </c:pt>
                <c:pt idx="265">
                  <c:v>12</c:v>
                </c:pt>
                <c:pt idx="266">
                  <c:v>16</c:v>
                </c:pt>
                <c:pt idx="267">
                  <c:v>13</c:v>
                </c:pt>
                <c:pt idx="268">
                  <c:v>9</c:v>
                </c:pt>
                <c:pt idx="269">
                  <c:v>8</c:v>
                </c:pt>
                <c:pt idx="270">
                  <c:v>13</c:v>
                </c:pt>
                <c:pt idx="271">
                  <c:v>11</c:v>
                </c:pt>
                <c:pt idx="272">
                  <c:v>8</c:v>
                </c:pt>
                <c:pt idx="273">
                  <c:v>11</c:v>
                </c:pt>
                <c:pt idx="274">
                  <c:v>10</c:v>
                </c:pt>
                <c:pt idx="275">
                  <c:v>14</c:v>
                </c:pt>
                <c:pt idx="276">
                  <c:v>16</c:v>
                </c:pt>
                <c:pt idx="277">
                  <c:v>9</c:v>
                </c:pt>
                <c:pt idx="278">
                  <c:v>10</c:v>
                </c:pt>
                <c:pt idx="279">
                  <c:v>14</c:v>
                </c:pt>
                <c:pt idx="280">
                  <c:v>16</c:v>
                </c:pt>
                <c:pt idx="281">
                  <c:v>16</c:v>
                </c:pt>
                <c:pt idx="282">
                  <c:v>8</c:v>
                </c:pt>
                <c:pt idx="283">
                  <c:v>11</c:v>
                </c:pt>
                <c:pt idx="284">
                  <c:v>14</c:v>
                </c:pt>
                <c:pt idx="285">
                  <c:v>10</c:v>
                </c:pt>
                <c:pt idx="286">
                  <c:v>11</c:v>
                </c:pt>
                <c:pt idx="287">
                  <c:v>11</c:v>
                </c:pt>
                <c:pt idx="288">
                  <c:v>14</c:v>
                </c:pt>
                <c:pt idx="289">
                  <c:v>14</c:v>
                </c:pt>
                <c:pt idx="290">
                  <c:v>13</c:v>
                </c:pt>
                <c:pt idx="291">
                  <c:v>12</c:v>
                </c:pt>
                <c:pt idx="292">
                  <c:v>10</c:v>
                </c:pt>
                <c:pt idx="293">
                  <c:v>14</c:v>
                </c:pt>
                <c:pt idx="294">
                  <c:v>12</c:v>
                </c:pt>
                <c:pt idx="295">
                  <c:v>11</c:v>
                </c:pt>
                <c:pt idx="296">
                  <c:v>12</c:v>
                </c:pt>
                <c:pt idx="297">
                  <c:v>11</c:v>
                </c:pt>
                <c:pt idx="298">
                  <c:v>0</c:v>
                </c:pt>
              </c:numCache>
            </c:numRef>
          </c:yVal>
          <c:smooth val="0"/>
          <c:extLst>
            <c:ext xmlns:c16="http://schemas.microsoft.com/office/drawing/2014/chart" uri="{C3380CC4-5D6E-409C-BE32-E72D297353CC}">
              <c16:uniqueId val="{00000000-9901-0B4A-AEDE-7513866599E4}"/>
            </c:ext>
          </c:extLst>
        </c:ser>
        <c:dLbls>
          <c:showLegendKey val="0"/>
          <c:showVal val="0"/>
          <c:showCatName val="0"/>
          <c:showSerName val="0"/>
          <c:showPercent val="0"/>
          <c:showBubbleSize val="0"/>
        </c:dLbls>
        <c:axId val="1440594815"/>
        <c:axId val="1440585855"/>
      </c:scatterChart>
      <c:valAx>
        <c:axId val="14405948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Study</a:t>
                </a:r>
                <a:r>
                  <a:rPr lang="en-US" baseline="0"/>
                  <a:t> Time (Hrs)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585855"/>
        <c:crosses val="autoZero"/>
        <c:crossBetween val="midCat"/>
      </c:valAx>
      <c:valAx>
        <c:axId val="14405858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Final</a:t>
                </a:r>
                <a:r>
                  <a:rPr lang="en-US" baseline="0"/>
                  <a:t> Grade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59481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School Support  Residual Plot</a:t>
            </a:r>
          </a:p>
        </c:rich>
      </c:tx>
      <c:overlay val="0"/>
    </c:title>
    <c:autoTitleDeleted val="0"/>
    <c:plotArea>
      <c:layout/>
      <c:scatterChart>
        <c:scatterStyle val="lineMarker"/>
        <c:varyColors val="0"/>
        <c:ser>
          <c:idx val="0"/>
          <c:order val="0"/>
          <c:spPr>
            <a:ln w="38100">
              <a:noFill/>
            </a:ln>
          </c:spPr>
          <c:xVal>
            <c:numRef>
              <c:f>'Dummy Variables'!$F$2:$F$300</c:f>
              <c:numCache>
                <c:formatCode>General</c:formatCode>
                <c:ptCount val="299"/>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1</c:v>
                </c:pt>
                <c:pt idx="28">
                  <c:v>1</c:v>
                </c:pt>
                <c:pt idx="29">
                  <c:v>0</c:v>
                </c:pt>
                <c:pt idx="30">
                  <c:v>0</c:v>
                </c:pt>
                <c:pt idx="31">
                  <c:v>1</c:v>
                </c:pt>
                <c:pt idx="32">
                  <c:v>0</c:v>
                </c:pt>
                <c:pt idx="33">
                  <c:v>1</c:v>
                </c:pt>
                <c:pt idx="34">
                  <c:v>1</c:v>
                </c:pt>
                <c:pt idx="35">
                  <c:v>0</c:v>
                </c:pt>
                <c:pt idx="36">
                  <c:v>0</c:v>
                </c:pt>
                <c:pt idx="37">
                  <c:v>0</c:v>
                </c:pt>
                <c:pt idx="38">
                  <c:v>0</c:v>
                </c:pt>
                <c:pt idx="39">
                  <c:v>1</c:v>
                </c:pt>
                <c:pt idx="40">
                  <c:v>0</c:v>
                </c:pt>
                <c:pt idx="41">
                  <c:v>0</c:v>
                </c:pt>
                <c:pt idx="42">
                  <c:v>0</c:v>
                </c:pt>
                <c:pt idx="43">
                  <c:v>0</c:v>
                </c:pt>
                <c:pt idx="44">
                  <c:v>0</c:v>
                </c:pt>
                <c:pt idx="45">
                  <c:v>0</c:v>
                </c:pt>
                <c:pt idx="46">
                  <c:v>1</c:v>
                </c:pt>
                <c:pt idx="47">
                  <c:v>0</c:v>
                </c:pt>
                <c:pt idx="48">
                  <c:v>0</c:v>
                </c:pt>
                <c:pt idx="49">
                  <c:v>1</c:v>
                </c:pt>
                <c:pt idx="50">
                  <c:v>0</c:v>
                </c:pt>
                <c:pt idx="51">
                  <c:v>0</c:v>
                </c:pt>
                <c:pt idx="52">
                  <c:v>0</c:v>
                </c:pt>
                <c:pt idx="53">
                  <c:v>0</c:v>
                </c:pt>
                <c:pt idx="54">
                  <c:v>0</c:v>
                </c:pt>
                <c:pt idx="55">
                  <c:v>0</c:v>
                </c:pt>
                <c:pt idx="56">
                  <c:v>0</c:v>
                </c:pt>
                <c:pt idx="57">
                  <c:v>0</c:v>
                </c:pt>
                <c:pt idx="58">
                  <c:v>1</c:v>
                </c:pt>
                <c:pt idx="59">
                  <c:v>1</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1</c:v>
                </c:pt>
                <c:pt idx="75">
                  <c:v>0</c:v>
                </c:pt>
                <c:pt idx="76">
                  <c:v>1</c:v>
                </c:pt>
                <c:pt idx="77">
                  <c:v>0</c:v>
                </c:pt>
                <c:pt idx="78">
                  <c:v>0</c:v>
                </c:pt>
                <c:pt idx="79">
                  <c:v>0</c:v>
                </c:pt>
                <c:pt idx="80">
                  <c:v>1</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1</c:v>
                </c:pt>
                <c:pt idx="103">
                  <c:v>0</c:v>
                </c:pt>
                <c:pt idx="104">
                  <c:v>0</c:v>
                </c:pt>
                <c:pt idx="105">
                  <c:v>0</c:v>
                </c:pt>
                <c:pt idx="106">
                  <c:v>1</c:v>
                </c:pt>
                <c:pt idx="107">
                  <c:v>0</c:v>
                </c:pt>
                <c:pt idx="108">
                  <c:v>0</c:v>
                </c:pt>
                <c:pt idx="109">
                  <c:v>0</c:v>
                </c:pt>
                <c:pt idx="110">
                  <c:v>0</c:v>
                </c:pt>
                <c:pt idx="111">
                  <c:v>0</c:v>
                </c:pt>
                <c:pt idx="112">
                  <c:v>0</c:v>
                </c:pt>
                <c:pt idx="113">
                  <c:v>0</c:v>
                </c:pt>
                <c:pt idx="114">
                  <c:v>1</c:v>
                </c:pt>
                <c:pt idx="115">
                  <c:v>0</c:v>
                </c:pt>
                <c:pt idx="116">
                  <c:v>0</c:v>
                </c:pt>
                <c:pt idx="117">
                  <c:v>0</c:v>
                </c:pt>
                <c:pt idx="118">
                  <c:v>0</c:v>
                </c:pt>
                <c:pt idx="119">
                  <c:v>0</c:v>
                </c:pt>
                <c:pt idx="120">
                  <c:v>0</c:v>
                </c:pt>
                <c:pt idx="121">
                  <c:v>0</c:v>
                </c:pt>
                <c:pt idx="122">
                  <c:v>0</c:v>
                </c:pt>
                <c:pt idx="123">
                  <c:v>1</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1</c:v>
                </c:pt>
                <c:pt idx="142">
                  <c:v>0</c:v>
                </c:pt>
                <c:pt idx="143">
                  <c:v>0</c:v>
                </c:pt>
                <c:pt idx="144">
                  <c:v>0</c:v>
                </c:pt>
                <c:pt idx="145">
                  <c:v>0</c:v>
                </c:pt>
                <c:pt idx="146">
                  <c:v>0</c:v>
                </c:pt>
                <c:pt idx="147">
                  <c:v>0</c:v>
                </c:pt>
                <c:pt idx="148">
                  <c:v>0</c:v>
                </c:pt>
                <c:pt idx="149">
                  <c:v>0</c:v>
                </c:pt>
                <c:pt idx="150">
                  <c:v>1</c:v>
                </c:pt>
                <c:pt idx="151">
                  <c:v>0</c:v>
                </c:pt>
                <c:pt idx="152">
                  <c:v>1</c:v>
                </c:pt>
                <c:pt idx="153">
                  <c:v>1</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1</c:v>
                </c:pt>
                <c:pt idx="173">
                  <c:v>1</c:v>
                </c:pt>
                <c:pt idx="174">
                  <c:v>0</c:v>
                </c:pt>
                <c:pt idx="175">
                  <c:v>0</c:v>
                </c:pt>
                <c:pt idx="176">
                  <c:v>1</c:v>
                </c:pt>
                <c:pt idx="177">
                  <c:v>0</c:v>
                </c:pt>
                <c:pt idx="178">
                  <c:v>0</c:v>
                </c:pt>
                <c:pt idx="179">
                  <c:v>0</c:v>
                </c:pt>
                <c:pt idx="180">
                  <c:v>0</c:v>
                </c:pt>
                <c:pt idx="181">
                  <c:v>0</c:v>
                </c:pt>
                <c:pt idx="182">
                  <c:v>1</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1</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1</c:v>
                </c:pt>
                <c:pt idx="240">
                  <c:v>0</c:v>
                </c:pt>
                <c:pt idx="241">
                  <c:v>0</c:v>
                </c:pt>
                <c:pt idx="242">
                  <c:v>0</c:v>
                </c:pt>
                <c:pt idx="243">
                  <c:v>0</c:v>
                </c:pt>
                <c:pt idx="244">
                  <c:v>0</c:v>
                </c:pt>
                <c:pt idx="245">
                  <c:v>0</c:v>
                </c:pt>
                <c:pt idx="246">
                  <c:v>0</c:v>
                </c:pt>
                <c:pt idx="247">
                  <c:v>0</c:v>
                </c:pt>
                <c:pt idx="248">
                  <c:v>0</c:v>
                </c:pt>
                <c:pt idx="249">
                  <c:v>0</c:v>
                </c:pt>
                <c:pt idx="250">
                  <c:v>1</c:v>
                </c:pt>
                <c:pt idx="251">
                  <c:v>0</c:v>
                </c:pt>
                <c:pt idx="252">
                  <c:v>0</c:v>
                </c:pt>
                <c:pt idx="253">
                  <c:v>0</c:v>
                </c:pt>
                <c:pt idx="254">
                  <c:v>0</c:v>
                </c:pt>
                <c:pt idx="255">
                  <c:v>0</c:v>
                </c:pt>
                <c:pt idx="256">
                  <c:v>0</c:v>
                </c:pt>
                <c:pt idx="257">
                  <c:v>1</c:v>
                </c:pt>
                <c:pt idx="258">
                  <c:v>0</c:v>
                </c:pt>
                <c:pt idx="259">
                  <c:v>0</c:v>
                </c:pt>
                <c:pt idx="260">
                  <c:v>0</c:v>
                </c:pt>
                <c:pt idx="261">
                  <c:v>0</c:v>
                </c:pt>
                <c:pt idx="262">
                  <c:v>0</c:v>
                </c:pt>
                <c:pt idx="263">
                  <c:v>0</c:v>
                </c:pt>
                <c:pt idx="264">
                  <c:v>1</c:v>
                </c:pt>
                <c:pt idx="265">
                  <c:v>0</c:v>
                </c:pt>
                <c:pt idx="266">
                  <c:v>0</c:v>
                </c:pt>
                <c:pt idx="267">
                  <c:v>0</c:v>
                </c:pt>
                <c:pt idx="268">
                  <c:v>0</c:v>
                </c:pt>
                <c:pt idx="269">
                  <c:v>0</c:v>
                </c:pt>
                <c:pt idx="270">
                  <c:v>1</c:v>
                </c:pt>
                <c:pt idx="271">
                  <c:v>0</c:v>
                </c:pt>
                <c:pt idx="272">
                  <c:v>0</c:v>
                </c:pt>
                <c:pt idx="273">
                  <c:v>0</c:v>
                </c:pt>
                <c:pt idx="274">
                  <c:v>1</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1</c:v>
                </c:pt>
                <c:pt idx="291">
                  <c:v>0</c:v>
                </c:pt>
                <c:pt idx="292">
                  <c:v>1</c:v>
                </c:pt>
                <c:pt idx="293">
                  <c:v>0</c:v>
                </c:pt>
                <c:pt idx="294">
                  <c:v>0</c:v>
                </c:pt>
                <c:pt idx="295">
                  <c:v>0</c:v>
                </c:pt>
                <c:pt idx="296">
                  <c:v>0</c:v>
                </c:pt>
                <c:pt idx="297">
                  <c:v>0</c:v>
                </c:pt>
                <c:pt idx="298">
                  <c:v>0</c:v>
                </c:pt>
              </c:numCache>
            </c:numRef>
          </c:xVal>
          <c:yVal>
            <c:numRef>
              <c:f>[1]Sheet1!$C$26:$C$324</c:f>
              <c:numCache>
                <c:formatCode>General</c:formatCode>
                <c:ptCount val="299"/>
                <c:pt idx="0">
                  <c:v>-1.3428571428571434</c:v>
                </c:pt>
                <c:pt idx="1">
                  <c:v>-12.482905982905983</c:v>
                </c:pt>
                <c:pt idx="2">
                  <c:v>0.51709401709401703</c:v>
                </c:pt>
                <c:pt idx="3">
                  <c:v>-1.482905982905983</c:v>
                </c:pt>
                <c:pt idx="4">
                  <c:v>-2.482905982905983</c:v>
                </c:pt>
                <c:pt idx="5">
                  <c:v>2.517094017094017</c:v>
                </c:pt>
                <c:pt idx="6">
                  <c:v>2.517094017094017</c:v>
                </c:pt>
                <c:pt idx="7">
                  <c:v>-0.48290598290598297</c:v>
                </c:pt>
                <c:pt idx="8">
                  <c:v>1.517094017094017</c:v>
                </c:pt>
                <c:pt idx="9">
                  <c:v>-0.48290598290598297</c:v>
                </c:pt>
                <c:pt idx="10">
                  <c:v>4.517094017094017</c:v>
                </c:pt>
                <c:pt idx="11">
                  <c:v>-12.482905982905983</c:v>
                </c:pt>
                <c:pt idx="12">
                  <c:v>0.53333333333333677</c:v>
                </c:pt>
                <c:pt idx="13">
                  <c:v>1.517094017094017</c:v>
                </c:pt>
                <c:pt idx="14">
                  <c:v>-5.482905982905983</c:v>
                </c:pt>
                <c:pt idx="15">
                  <c:v>2.517094017094017</c:v>
                </c:pt>
                <c:pt idx="16">
                  <c:v>-1.482905982905983</c:v>
                </c:pt>
                <c:pt idx="17">
                  <c:v>0.51709401709401703</c:v>
                </c:pt>
                <c:pt idx="18">
                  <c:v>-0.48290598290598297</c:v>
                </c:pt>
                <c:pt idx="19">
                  <c:v>-1.482905982905983</c:v>
                </c:pt>
                <c:pt idx="20">
                  <c:v>3.517094017094017</c:v>
                </c:pt>
                <c:pt idx="21">
                  <c:v>-0.48290598290598297</c:v>
                </c:pt>
                <c:pt idx="22">
                  <c:v>0.51709401709401703</c:v>
                </c:pt>
                <c:pt idx="23">
                  <c:v>-1.482905982905983</c:v>
                </c:pt>
                <c:pt idx="24">
                  <c:v>2.517094017094017</c:v>
                </c:pt>
                <c:pt idx="25">
                  <c:v>-4.482905982905983</c:v>
                </c:pt>
                <c:pt idx="26">
                  <c:v>-3.482905982905983</c:v>
                </c:pt>
                <c:pt idx="27">
                  <c:v>-1.3428571428571434</c:v>
                </c:pt>
                <c:pt idx="28">
                  <c:v>-2.3428571428571434</c:v>
                </c:pt>
                <c:pt idx="29">
                  <c:v>-0.48290598290598297</c:v>
                </c:pt>
                <c:pt idx="30">
                  <c:v>1.517094017094017</c:v>
                </c:pt>
                <c:pt idx="31">
                  <c:v>-0.34285714285714342</c:v>
                </c:pt>
                <c:pt idx="32">
                  <c:v>-0.46666666666666323</c:v>
                </c:pt>
                <c:pt idx="33">
                  <c:v>6.6571428571428566</c:v>
                </c:pt>
                <c:pt idx="34">
                  <c:v>-0.34285714285714342</c:v>
                </c:pt>
                <c:pt idx="35">
                  <c:v>3.517094017094017</c:v>
                </c:pt>
                <c:pt idx="36">
                  <c:v>-0.48290598290598297</c:v>
                </c:pt>
                <c:pt idx="37">
                  <c:v>0.51709401709401703</c:v>
                </c:pt>
                <c:pt idx="38">
                  <c:v>-2.482905982905983</c:v>
                </c:pt>
                <c:pt idx="39">
                  <c:v>-2.3428571428571434</c:v>
                </c:pt>
                <c:pt idx="40">
                  <c:v>4.5333333333333368</c:v>
                </c:pt>
                <c:pt idx="41">
                  <c:v>-0.46666666666666323</c:v>
                </c:pt>
                <c:pt idx="42">
                  <c:v>2.517094017094017</c:v>
                </c:pt>
                <c:pt idx="43">
                  <c:v>3.517094017094017</c:v>
                </c:pt>
                <c:pt idx="44">
                  <c:v>0.53333333333333677</c:v>
                </c:pt>
                <c:pt idx="45">
                  <c:v>-1.482905982905983</c:v>
                </c:pt>
                <c:pt idx="46">
                  <c:v>-1.3428571428571434</c:v>
                </c:pt>
                <c:pt idx="47">
                  <c:v>3.517094017094017</c:v>
                </c:pt>
                <c:pt idx="48">
                  <c:v>0.51709401709401703</c:v>
                </c:pt>
                <c:pt idx="49">
                  <c:v>-0.34285714285714342</c:v>
                </c:pt>
                <c:pt idx="50">
                  <c:v>4.517094017094017</c:v>
                </c:pt>
                <c:pt idx="51">
                  <c:v>4.517094017094017</c:v>
                </c:pt>
                <c:pt idx="52">
                  <c:v>-0.48290598290598297</c:v>
                </c:pt>
                <c:pt idx="53">
                  <c:v>2.517094017094017</c:v>
                </c:pt>
                <c:pt idx="54">
                  <c:v>1.517094017094017</c:v>
                </c:pt>
                <c:pt idx="55">
                  <c:v>-2.482905982905983</c:v>
                </c:pt>
                <c:pt idx="56">
                  <c:v>-2.482905982905983</c:v>
                </c:pt>
                <c:pt idx="57">
                  <c:v>0.51709401709401703</c:v>
                </c:pt>
                <c:pt idx="58">
                  <c:v>-1.3428571428571434</c:v>
                </c:pt>
                <c:pt idx="59">
                  <c:v>1.6571428571428566</c:v>
                </c:pt>
                <c:pt idx="60">
                  <c:v>-1.482905982905983</c:v>
                </c:pt>
                <c:pt idx="61">
                  <c:v>-1.482905982905983</c:v>
                </c:pt>
                <c:pt idx="62">
                  <c:v>-0.48290598290598297</c:v>
                </c:pt>
                <c:pt idx="63">
                  <c:v>-2.482905982905983</c:v>
                </c:pt>
                <c:pt idx="64">
                  <c:v>3.517094017094017</c:v>
                </c:pt>
                <c:pt idx="65">
                  <c:v>-2.482905982905983</c:v>
                </c:pt>
                <c:pt idx="66">
                  <c:v>-2.482905982905983</c:v>
                </c:pt>
                <c:pt idx="67">
                  <c:v>-1.482905982905983</c:v>
                </c:pt>
                <c:pt idx="68">
                  <c:v>3.517094017094017</c:v>
                </c:pt>
                <c:pt idx="69">
                  <c:v>-12.482905982905983</c:v>
                </c:pt>
                <c:pt idx="70">
                  <c:v>-2.482905982905983</c:v>
                </c:pt>
                <c:pt idx="71">
                  <c:v>2.517094017094017</c:v>
                </c:pt>
                <c:pt idx="72">
                  <c:v>3.517094017094017</c:v>
                </c:pt>
                <c:pt idx="73">
                  <c:v>-0.48290598290598297</c:v>
                </c:pt>
                <c:pt idx="74">
                  <c:v>-0.34285714285714342</c:v>
                </c:pt>
                <c:pt idx="75">
                  <c:v>-0.48290598290598297</c:v>
                </c:pt>
                <c:pt idx="76">
                  <c:v>0.65714285714285658</c:v>
                </c:pt>
                <c:pt idx="77">
                  <c:v>-0.48290598290598297</c:v>
                </c:pt>
                <c:pt idx="78">
                  <c:v>2.517094017094017</c:v>
                </c:pt>
                <c:pt idx="79">
                  <c:v>-0.48290598290598297</c:v>
                </c:pt>
                <c:pt idx="80">
                  <c:v>-3.3428571428571434</c:v>
                </c:pt>
                <c:pt idx="81">
                  <c:v>-1.482905982905983</c:v>
                </c:pt>
                <c:pt idx="82">
                  <c:v>-1.482905982905983</c:v>
                </c:pt>
                <c:pt idx="83">
                  <c:v>3.517094017094017</c:v>
                </c:pt>
                <c:pt idx="84">
                  <c:v>-0.48290598290598297</c:v>
                </c:pt>
                <c:pt idx="85">
                  <c:v>0.51709401709401703</c:v>
                </c:pt>
                <c:pt idx="86">
                  <c:v>0.51709401709401703</c:v>
                </c:pt>
                <c:pt idx="87">
                  <c:v>-0.46666666666666323</c:v>
                </c:pt>
                <c:pt idx="88">
                  <c:v>-4.482905982905983</c:v>
                </c:pt>
                <c:pt idx="89">
                  <c:v>-2.482905982905983</c:v>
                </c:pt>
                <c:pt idx="90">
                  <c:v>0.51709401709401703</c:v>
                </c:pt>
                <c:pt idx="91">
                  <c:v>-2.482905982905983</c:v>
                </c:pt>
                <c:pt idx="92">
                  <c:v>0.51709401709401703</c:v>
                </c:pt>
                <c:pt idx="93">
                  <c:v>3.517094017094017</c:v>
                </c:pt>
                <c:pt idx="94">
                  <c:v>0.51709401709401703</c:v>
                </c:pt>
                <c:pt idx="95">
                  <c:v>4.517094017094017</c:v>
                </c:pt>
                <c:pt idx="96">
                  <c:v>-2.482905982905983</c:v>
                </c:pt>
                <c:pt idx="97">
                  <c:v>0.51709401709401703</c:v>
                </c:pt>
                <c:pt idx="98">
                  <c:v>0.53333333333333677</c:v>
                </c:pt>
                <c:pt idx="99">
                  <c:v>0.53333333333333677</c:v>
                </c:pt>
                <c:pt idx="100">
                  <c:v>4.517094017094017</c:v>
                </c:pt>
                <c:pt idx="101">
                  <c:v>4.517094017094017</c:v>
                </c:pt>
                <c:pt idx="102">
                  <c:v>0.65714285714285658</c:v>
                </c:pt>
                <c:pt idx="103">
                  <c:v>-0.48290598290598297</c:v>
                </c:pt>
                <c:pt idx="104">
                  <c:v>2.517094017094017</c:v>
                </c:pt>
                <c:pt idx="105">
                  <c:v>-1.482905982905983</c:v>
                </c:pt>
                <c:pt idx="106">
                  <c:v>0.65714285714285658</c:v>
                </c:pt>
                <c:pt idx="107">
                  <c:v>1.517094017094017</c:v>
                </c:pt>
                <c:pt idx="108">
                  <c:v>-3.482905982905983</c:v>
                </c:pt>
                <c:pt idx="109">
                  <c:v>-0.48290598290598297</c:v>
                </c:pt>
                <c:pt idx="110">
                  <c:v>-0.48290598290598297</c:v>
                </c:pt>
                <c:pt idx="111">
                  <c:v>4.517094017094017</c:v>
                </c:pt>
                <c:pt idx="112">
                  <c:v>-4.482905982905983</c:v>
                </c:pt>
                <c:pt idx="113">
                  <c:v>-0.48290598290598297</c:v>
                </c:pt>
                <c:pt idx="114">
                  <c:v>-0.34285714285714342</c:v>
                </c:pt>
                <c:pt idx="115">
                  <c:v>-2.482905982905983</c:v>
                </c:pt>
                <c:pt idx="116">
                  <c:v>5.517094017094017</c:v>
                </c:pt>
                <c:pt idx="117">
                  <c:v>1.517094017094017</c:v>
                </c:pt>
                <c:pt idx="118">
                  <c:v>-0.48290598290598297</c:v>
                </c:pt>
                <c:pt idx="119">
                  <c:v>-1.482905982905983</c:v>
                </c:pt>
                <c:pt idx="120">
                  <c:v>4.517094017094017</c:v>
                </c:pt>
                <c:pt idx="121">
                  <c:v>-2.4666666666666632</c:v>
                </c:pt>
                <c:pt idx="122">
                  <c:v>-0.46666666666666323</c:v>
                </c:pt>
                <c:pt idx="123">
                  <c:v>2.6571428571428566</c:v>
                </c:pt>
                <c:pt idx="124">
                  <c:v>6.517094017094017</c:v>
                </c:pt>
                <c:pt idx="125">
                  <c:v>3.517094017094017</c:v>
                </c:pt>
                <c:pt idx="126">
                  <c:v>-2.482905982905983</c:v>
                </c:pt>
                <c:pt idx="127">
                  <c:v>-3.482905982905983</c:v>
                </c:pt>
                <c:pt idx="128">
                  <c:v>-4.482905982905983</c:v>
                </c:pt>
                <c:pt idx="129">
                  <c:v>0.51709401709401703</c:v>
                </c:pt>
                <c:pt idx="130">
                  <c:v>-0.48290598290598297</c:v>
                </c:pt>
                <c:pt idx="131">
                  <c:v>-2.482905982905983</c:v>
                </c:pt>
                <c:pt idx="132">
                  <c:v>2.517094017094017</c:v>
                </c:pt>
                <c:pt idx="133">
                  <c:v>1.517094017094017</c:v>
                </c:pt>
                <c:pt idx="134">
                  <c:v>-3.482905982905983</c:v>
                </c:pt>
                <c:pt idx="135">
                  <c:v>-1.482905982905983</c:v>
                </c:pt>
                <c:pt idx="136">
                  <c:v>-0.48290598290598297</c:v>
                </c:pt>
                <c:pt idx="137">
                  <c:v>5.517094017094017</c:v>
                </c:pt>
                <c:pt idx="138">
                  <c:v>5.517094017094017</c:v>
                </c:pt>
                <c:pt idx="139">
                  <c:v>2.517094017094017</c:v>
                </c:pt>
                <c:pt idx="140">
                  <c:v>4.517094017094017</c:v>
                </c:pt>
                <c:pt idx="141">
                  <c:v>-0.34285714285714342</c:v>
                </c:pt>
                <c:pt idx="142">
                  <c:v>1.517094017094017</c:v>
                </c:pt>
                <c:pt idx="143">
                  <c:v>-0.48290598290598297</c:v>
                </c:pt>
                <c:pt idx="144">
                  <c:v>1.517094017094017</c:v>
                </c:pt>
                <c:pt idx="145">
                  <c:v>-3.482905982905983</c:v>
                </c:pt>
                <c:pt idx="146">
                  <c:v>-3.4666666666666632</c:v>
                </c:pt>
                <c:pt idx="147">
                  <c:v>-1.482905982905983</c:v>
                </c:pt>
                <c:pt idx="148">
                  <c:v>0.53333333333333677</c:v>
                </c:pt>
                <c:pt idx="149">
                  <c:v>-4.482905982905983</c:v>
                </c:pt>
                <c:pt idx="150">
                  <c:v>0.65714285714285658</c:v>
                </c:pt>
                <c:pt idx="151">
                  <c:v>-2.482905982905983</c:v>
                </c:pt>
                <c:pt idx="152">
                  <c:v>2.6571428571428566</c:v>
                </c:pt>
                <c:pt idx="153">
                  <c:v>0.65714285714285658</c:v>
                </c:pt>
                <c:pt idx="154">
                  <c:v>-2.482905982905983</c:v>
                </c:pt>
                <c:pt idx="155">
                  <c:v>-4.482905982905983</c:v>
                </c:pt>
                <c:pt idx="156">
                  <c:v>-2.482905982905983</c:v>
                </c:pt>
                <c:pt idx="157">
                  <c:v>-2.482905982905983</c:v>
                </c:pt>
                <c:pt idx="158">
                  <c:v>2.517094017094017</c:v>
                </c:pt>
                <c:pt idx="159">
                  <c:v>0.53333333333333677</c:v>
                </c:pt>
                <c:pt idx="160">
                  <c:v>2.517094017094017</c:v>
                </c:pt>
                <c:pt idx="161">
                  <c:v>-2.482905982905983</c:v>
                </c:pt>
                <c:pt idx="162">
                  <c:v>0.51709401709401703</c:v>
                </c:pt>
                <c:pt idx="163">
                  <c:v>-0.48290598290598297</c:v>
                </c:pt>
                <c:pt idx="164">
                  <c:v>-0.48290598290598297</c:v>
                </c:pt>
                <c:pt idx="165">
                  <c:v>-4.482905982905983</c:v>
                </c:pt>
                <c:pt idx="166">
                  <c:v>-1.482905982905983</c:v>
                </c:pt>
                <c:pt idx="167">
                  <c:v>-2.482905982905983</c:v>
                </c:pt>
                <c:pt idx="168">
                  <c:v>-0.46666666666666323</c:v>
                </c:pt>
                <c:pt idx="169">
                  <c:v>-1.482905982905983</c:v>
                </c:pt>
                <c:pt idx="170">
                  <c:v>1.5333333333333368</c:v>
                </c:pt>
                <c:pt idx="171">
                  <c:v>0.51709401709401703</c:v>
                </c:pt>
                <c:pt idx="172">
                  <c:v>-0.34285714285714342</c:v>
                </c:pt>
                <c:pt idx="173">
                  <c:v>2.6571428571428566</c:v>
                </c:pt>
                <c:pt idx="174">
                  <c:v>1.5333333333333368</c:v>
                </c:pt>
                <c:pt idx="175">
                  <c:v>2.517094017094017</c:v>
                </c:pt>
                <c:pt idx="176">
                  <c:v>-0.34285714285714342</c:v>
                </c:pt>
                <c:pt idx="177">
                  <c:v>0.51709401709401703</c:v>
                </c:pt>
                <c:pt idx="178">
                  <c:v>-1.482905982905983</c:v>
                </c:pt>
                <c:pt idx="179">
                  <c:v>-2.482905982905983</c:v>
                </c:pt>
                <c:pt idx="180">
                  <c:v>5.517094017094017</c:v>
                </c:pt>
                <c:pt idx="181">
                  <c:v>0.51709401709401703</c:v>
                </c:pt>
                <c:pt idx="182">
                  <c:v>-0.34285714285714342</c:v>
                </c:pt>
                <c:pt idx="183">
                  <c:v>0.51709401709401703</c:v>
                </c:pt>
                <c:pt idx="184">
                  <c:v>2.517094017094017</c:v>
                </c:pt>
                <c:pt idx="185">
                  <c:v>0.51709401709401703</c:v>
                </c:pt>
                <c:pt idx="186">
                  <c:v>-5.482905982905983</c:v>
                </c:pt>
                <c:pt idx="187">
                  <c:v>2.517094017094017</c:v>
                </c:pt>
                <c:pt idx="188">
                  <c:v>1.517094017094017</c:v>
                </c:pt>
                <c:pt idx="189">
                  <c:v>1.517094017094017</c:v>
                </c:pt>
                <c:pt idx="190">
                  <c:v>-0.48290598290598297</c:v>
                </c:pt>
                <c:pt idx="191">
                  <c:v>3.517094017094017</c:v>
                </c:pt>
                <c:pt idx="192">
                  <c:v>5.517094017094017</c:v>
                </c:pt>
                <c:pt idx="193">
                  <c:v>-1.482905982905983</c:v>
                </c:pt>
                <c:pt idx="194">
                  <c:v>3.517094017094017</c:v>
                </c:pt>
                <c:pt idx="195">
                  <c:v>-0.48290598290598297</c:v>
                </c:pt>
                <c:pt idx="196">
                  <c:v>0.51709401709401703</c:v>
                </c:pt>
                <c:pt idx="197">
                  <c:v>2.517094017094017</c:v>
                </c:pt>
                <c:pt idx="198">
                  <c:v>-0.48290598290598297</c:v>
                </c:pt>
                <c:pt idx="199">
                  <c:v>-1.482905982905983</c:v>
                </c:pt>
                <c:pt idx="200">
                  <c:v>2.517094017094017</c:v>
                </c:pt>
                <c:pt idx="201">
                  <c:v>1.5333333333333368</c:v>
                </c:pt>
                <c:pt idx="202">
                  <c:v>-2.482905982905983</c:v>
                </c:pt>
                <c:pt idx="203">
                  <c:v>1.517094017094017</c:v>
                </c:pt>
                <c:pt idx="204">
                  <c:v>-4.482905982905983</c:v>
                </c:pt>
                <c:pt idx="205">
                  <c:v>5.517094017094017</c:v>
                </c:pt>
                <c:pt idx="206">
                  <c:v>2.517094017094017</c:v>
                </c:pt>
                <c:pt idx="207">
                  <c:v>-0.46666666666666323</c:v>
                </c:pt>
                <c:pt idx="208">
                  <c:v>1.6571428571428566</c:v>
                </c:pt>
                <c:pt idx="209">
                  <c:v>1.517094017094017</c:v>
                </c:pt>
                <c:pt idx="210">
                  <c:v>-0.48290598290598297</c:v>
                </c:pt>
                <c:pt idx="211">
                  <c:v>-1.482905982905983</c:v>
                </c:pt>
                <c:pt idx="212">
                  <c:v>-2.482905982905983</c:v>
                </c:pt>
                <c:pt idx="213">
                  <c:v>2.517094017094017</c:v>
                </c:pt>
                <c:pt idx="214">
                  <c:v>0.51709401709401703</c:v>
                </c:pt>
                <c:pt idx="215">
                  <c:v>0.53333333333333677</c:v>
                </c:pt>
                <c:pt idx="216">
                  <c:v>0.51709401709401703</c:v>
                </c:pt>
                <c:pt idx="217">
                  <c:v>3.517094017094017</c:v>
                </c:pt>
                <c:pt idx="218">
                  <c:v>-1.482905982905983</c:v>
                </c:pt>
                <c:pt idx="219">
                  <c:v>-12.482905982905983</c:v>
                </c:pt>
                <c:pt idx="220">
                  <c:v>-2.482905982905983</c:v>
                </c:pt>
                <c:pt idx="221">
                  <c:v>-1.4666666666666632</c:v>
                </c:pt>
                <c:pt idx="222">
                  <c:v>4.517094017094017</c:v>
                </c:pt>
                <c:pt idx="223">
                  <c:v>3.517094017094017</c:v>
                </c:pt>
                <c:pt idx="224">
                  <c:v>-1.482905982905983</c:v>
                </c:pt>
                <c:pt idx="225">
                  <c:v>2.517094017094017</c:v>
                </c:pt>
                <c:pt idx="226">
                  <c:v>-1.4666666666666632</c:v>
                </c:pt>
                <c:pt idx="227">
                  <c:v>-3.482905982905983</c:v>
                </c:pt>
                <c:pt idx="228">
                  <c:v>0.51709401709401703</c:v>
                </c:pt>
                <c:pt idx="229">
                  <c:v>4.517094017094017</c:v>
                </c:pt>
                <c:pt idx="230">
                  <c:v>3.5333333333333368</c:v>
                </c:pt>
                <c:pt idx="231">
                  <c:v>-1.482905982905983</c:v>
                </c:pt>
                <c:pt idx="232">
                  <c:v>-0.48290598290598297</c:v>
                </c:pt>
                <c:pt idx="233">
                  <c:v>4.517094017094017</c:v>
                </c:pt>
                <c:pt idx="234">
                  <c:v>-3.482905982905983</c:v>
                </c:pt>
                <c:pt idx="235">
                  <c:v>2.517094017094017</c:v>
                </c:pt>
                <c:pt idx="236">
                  <c:v>-1.4666666666666632</c:v>
                </c:pt>
                <c:pt idx="237">
                  <c:v>-2.482905982905983</c:v>
                </c:pt>
                <c:pt idx="238">
                  <c:v>2.517094017094017</c:v>
                </c:pt>
                <c:pt idx="239">
                  <c:v>-1.3428571428571434</c:v>
                </c:pt>
                <c:pt idx="240">
                  <c:v>-1.482905982905983</c:v>
                </c:pt>
                <c:pt idx="241">
                  <c:v>4.517094017094017</c:v>
                </c:pt>
                <c:pt idx="242">
                  <c:v>-2.482905982905983</c:v>
                </c:pt>
                <c:pt idx="243">
                  <c:v>-0.48290598290598297</c:v>
                </c:pt>
                <c:pt idx="244">
                  <c:v>-0.48290598290598297</c:v>
                </c:pt>
                <c:pt idx="245">
                  <c:v>1.517094017094017</c:v>
                </c:pt>
                <c:pt idx="246">
                  <c:v>-1.482905982905983</c:v>
                </c:pt>
                <c:pt idx="247">
                  <c:v>2.517094017094017</c:v>
                </c:pt>
                <c:pt idx="248">
                  <c:v>2.517094017094017</c:v>
                </c:pt>
                <c:pt idx="249">
                  <c:v>-4.482905982905983</c:v>
                </c:pt>
                <c:pt idx="250">
                  <c:v>-0.34285714285714342</c:v>
                </c:pt>
                <c:pt idx="251">
                  <c:v>-2.4666666666666632</c:v>
                </c:pt>
                <c:pt idx="252">
                  <c:v>1.517094017094017</c:v>
                </c:pt>
                <c:pt idx="253">
                  <c:v>-0.48290598290598297</c:v>
                </c:pt>
                <c:pt idx="254">
                  <c:v>-2.4666666666666632</c:v>
                </c:pt>
                <c:pt idx="255">
                  <c:v>0.51709401709401703</c:v>
                </c:pt>
                <c:pt idx="256">
                  <c:v>3.517094017094017</c:v>
                </c:pt>
                <c:pt idx="257">
                  <c:v>-3.3428571428571434</c:v>
                </c:pt>
                <c:pt idx="258">
                  <c:v>2.517094017094017</c:v>
                </c:pt>
                <c:pt idx="259">
                  <c:v>0.51709401709401703</c:v>
                </c:pt>
                <c:pt idx="260">
                  <c:v>1.517094017094017</c:v>
                </c:pt>
                <c:pt idx="261">
                  <c:v>2.517094017094017</c:v>
                </c:pt>
                <c:pt idx="262">
                  <c:v>1.5333333333333368</c:v>
                </c:pt>
                <c:pt idx="263">
                  <c:v>0.51709401709401703</c:v>
                </c:pt>
                <c:pt idx="264">
                  <c:v>-0.34285714285714342</c:v>
                </c:pt>
                <c:pt idx="265">
                  <c:v>-0.48290598290598297</c:v>
                </c:pt>
                <c:pt idx="266">
                  <c:v>3.517094017094017</c:v>
                </c:pt>
                <c:pt idx="267">
                  <c:v>0.51709401709401703</c:v>
                </c:pt>
                <c:pt idx="268">
                  <c:v>-3.482905982905983</c:v>
                </c:pt>
                <c:pt idx="269">
                  <c:v>-1.4666666666666632</c:v>
                </c:pt>
                <c:pt idx="270">
                  <c:v>1.6571428571428566</c:v>
                </c:pt>
                <c:pt idx="271">
                  <c:v>-1.482905982905983</c:v>
                </c:pt>
                <c:pt idx="272">
                  <c:v>-4.482905982905983</c:v>
                </c:pt>
                <c:pt idx="273">
                  <c:v>-1.482905982905983</c:v>
                </c:pt>
                <c:pt idx="274">
                  <c:v>-1.3428571428571434</c:v>
                </c:pt>
                <c:pt idx="275">
                  <c:v>1.517094017094017</c:v>
                </c:pt>
                <c:pt idx="276">
                  <c:v>3.517094017094017</c:v>
                </c:pt>
                <c:pt idx="277">
                  <c:v>-0.46666666666666323</c:v>
                </c:pt>
                <c:pt idx="278">
                  <c:v>0.53333333333333677</c:v>
                </c:pt>
                <c:pt idx="279">
                  <c:v>1.517094017094017</c:v>
                </c:pt>
                <c:pt idx="280">
                  <c:v>3.517094017094017</c:v>
                </c:pt>
                <c:pt idx="281">
                  <c:v>3.517094017094017</c:v>
                </c:pt>
                <c:pt idx="282">
                  <c:v>-4.482905982905983</c:v>
                </c:pt>
                <c:pt idx="283">
                  <c:v>-1.482905982905983</c:v>
                </c:pt>
                <c:pt idx="284">
                  <c:v>1.517094017094017</c:v>
                </c:pt>
                <c:pt idx="285">
                  <c:v>-2.482905982905983</c:v>
                </c:pt>
                <c:pt idx="286">
                  <c:v>1.5333333333333368</c:v>
                </c:pt>
                <c:pt idx="287">
                  <c:v>-1.482905982905983</c:v>
                </c:pt>
                <c:pt idx="288">
                  <c:v>1.517094017094017</c:v>
                </c:pt>
                <c:pt idx="289">
                  <c:v>1.517094017094017</c:v>
                </c:pt>
                <c:pt idx="290">
                  <c:v>1.6571428571428566</c:v>
                </c:pt>
                <c:pt idx="291">
                  <c:v>-0.48290598290598297</c:v>
                </c:pt>
                <c:pt idx="292">
                  <c:v>-1.3428571428571434</c:v>
                </c:pt>
                <c:pt idx="293">
                  <c:v>1.517094017094017</c:v>
                </c:pt>
                <c:pt idx="294">
                  <c:v>-0.48290598290598297</c:v>
                </c:pt>
                <c:pt idx="295">
                  <c:v>-1.482905982905983</c:v>
                </c:pt>
                <c:pt idx="296">
                  <c:v>-0.48290598290598297</c:v>
                </c:pt>
                <c:pt idx="297">
                  <c:v>-1.482905982905983</c:v>
                </c:pt>
                <c:pt idx="298">
                  <c:v>-12.482905982905983</c:v>
                </c:pt>
              </c:numCache>
            </c:numRef>
          </c:yVal>
          <c:smooth val="0"/>
          <c:extLst>
            <c:ext xmlns:c16="http://schemas.microsoft.com/office/drawing/2014/chart" uri="{C3380CC4-5D6E-409C-BE32-E72D297353CC}">
              <c16:uniqueId val="{00000000-A977-6B44-A66D-1E27974A1321}"/>
            </c:ext>
          </c:extLst>
        </c:ser>
        <c:dLbls>
          <c:showLegendKey val="0"/>
          <c:showVal val="0"/>
          <c:showCatName val="0"/>
          <c:showSerName val="0"/>
          <c:showPercent val="0"/>
          <c:showBubbleSize val="0"/>
        </c:dLbls>
        <c:axId val="126875200"/>
        <c:axId val="58909888"/>
      </c:scatterChart>
      <c:valAx>
        <c:axId val="126875200"/>
        <c:scaling>
          <c:orientation val="minMax"/>
        </c:scaling>
        <c:delete val="0"/>
        <c:axPos val="b"/>
        <c:title>
          <c:tx>
            <c:rich>
              <a:bodyPr/>
              <a:lstStyle/>
              <a:p>
                <a:pPr>
                  <a:defRPr/>
                </a:pPr>
                <a:r>
                  <a:rPr lang="en-US"/>
                  <a:t>School Support</a:t>
                </a:r>
              </a:p>
            </c:rich>
          </c:tx>
          <c:overlay val="0"/>
        </c:title>
        <c:numFmt formatCode="General" sourceLinked="1"/>
        <c:majorTickMark val="out"/>
        <c:minorTickMark val="none"/>
        <c:tickLblPos val="nextTo"/>
        <c:crossAx val="58909888"/>
        <c:crosses val="autoZero"/>
        <c:crossBetween val="midCat"/>
      </c:valAx>
      <c:valAx>
        <c:axId val="58909888"/>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26875200"/>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College  Residual Plot</a:t>
            </a:r>
          </a:p>
        </c:rich>
      </c:tx>
      <c:overlay val="0"/>
    </c:title>
    <c:autoTitleDeleted val="0"/>
    <c:plotArea>
      <c:layout/>
      <c:scatterChart>
        <c:scatterStyle val="lineMarker"/>
        <c:varyColors val="0"/>
        <c:ser>
          <c:idx val="0"/>
          <c:order val="0"/>
          <c:spPr>
            <a:ln w="38100">
              <a:noFill/>
            </a:ln>
          </c:spPr>
          <c:xVal>
            <c:strRef>
              <c:f>[1]Sheet1!$G$2:$G$300</c:f>
              <c:strCache>
                <c:ptCount val="299"/>
                <c:pt idx="14">
                  <c:v>Upper 95%</c:v>
                </c:pt>
                <c:pt idx="15">
                  <c:v>10.52494578</c:v>
                </c:pt>
                <c:pt idx="16">
                  <c:v>-0.0895513</c:v>
                </c:pt>
                <c:pt idx="17">
                  <c:v>4.140311647</c:v>
                </c:pt>
              </c:strCache>
            </c:strRef>
          </c:xVal>
          <c:yVal>
            <c:numRef>
              <c:f>[1]Sheet1!$C$26:$C$324</c:f>
              <c:numCache>
                <c:formatCode>General</c:formatCode>
                <c:ptCount val="299"/>
                <c:pt idx="0">
                  <c:v>-1.3428571428571434</c:v>
                </c:pt>
                <c:pt idx="1">
                  <c:v>-12.482905982905983</c:v>
                </c:pt>
                <c:pt idx="2">
                  <c:v>0.51709401709401703</c:v>
                </c:pt>
                <c:pt idx="3">
                  <c:v>-1.482905982905983</c:v>
                </c:pt>
                <c:pt idx="4">
                  <c:v>-2.482905982905983</c:v>
                </c:pt>
                <c:pt idx="5">
                  <c:v>2.517094017094017</c:v>
                </c:pt>
                <c:pt idx="6">
                  <c:v>2.517094017094017</c:v>
                </c:pt>
                <c:pt idx="7">
                  <c:v>-0.48290598290598297</c:v>
                </c:pt>
                <c:pt idx="8">
                  <c:v>1.517094017094017</c:v>
                </c:pt>
                <c:pt idx="9">
                  <c:v>-0.48290598290598297</c:v>
                </c:pt>
                <c:pt idx="10">
                  <c:v>4.517094017094017</c:v>
                </c:pt>
                <c:pt idx="11">
                  <c:v>-12.482905982905983</c:v>
                </c:pt>
                <c:pt idx="12">
                  <c:v>0.53333333333333677</c:v>
                </c:pt>
                <c:pt idx="13">
                  <c:v>1.517094017094017</c:v>
                </c:pt>
                <c:pt idx="14">
                  <c:v>-5.482905982905983</c:v>
                </c:pt>
                <c:pt idx="15">
                  <c:v>2.517094017094017</c:v>
                </c:pt>
                <c:pt idx="16">
                  <c:v>-1.482905982905983</c:v>
                </c:pt>
                <c:pt idx="17">
                  <c:v>0.51709401709401703</c:v>
                </c:pt>
                <c:pt idx="18">
                  <c:v>-0.48290598290598297</c:v>
                </c:pt>
                <c:pt idx="19">
                  <c:v>-1.482905982905983</c:v>
                </c:pt>
                <c:pt idx="20">
                  <c:v>3.517094017094017</c:v>
                </c:pt>
                <c:pt idx="21">
                  <c:v>-0.48290598290598297</c:v>
                </c:pt>
                <c:pt idx="22">
                  <c:v>0.51709401709401703</c:v>
                </c:pt>
                <c:pt idx="23">
                  <c:v>-1.482905982905983</c:v>
                </c:pt>
                <c:pt idx="24">
                  <c:v>2.517094017094017</c:v>
                </c:pt>
                <c:pt idx="25">
                  <c:v>-4.482905982905983</c:v>
                </c:pt>
                <c:pt idx="26">
                  <c:v>-3.482905982905983</c:v>
                </c:pt>
                <c:pt idx="27">
                  <c:v>-1.3428571428571434</c:v>
                </c:pt>
                <c:pt idx="28">
                  <c:v>-2.3428571428571434</c:v>
                </c:pt>
                <c:pt idx="29">
                  <c:v>-0.48290598290598297</c:v>
                </c:pt>
                <c:pt idx="30">
                  <c:v>1.517094017094017</c:v>
                </c:pt>
                <c:pt idx="31">
                  <c:v>-0.34285714285714342</c:v>
                </c:pt>
                <c:pt idx="32">
                  <c:v>-0.46666666666666323</c:v>
                </c:pt>
                <c:pt idx="33">
                  <c:v>6.6571428571428566</c:v>
                </c:pt>
                <c:pt idx="34">
                  <c:v>-0.34285714285714342</c:v>
                </c:pt>
                <c:pt idx="35">
                  <c:v>3.517094017094017</c:v>
                </c:pt>
                <c:pt idx="36">
                  <c:v>-0.48290598290598297</c:v>
                </c:pt>
                <c:pt idx="37">
                  <c:v>0.51709401709401703</c:v>
                </c:pt>
                <c:pt idx="38">
                  <c:v>-2.482905982905983</c:v>
                </c:pt>
                <c:pt idx="39">
                  <c:v>-2.3428571428571434</c:v>
                </c:pt>
                <c:pt idx="40">
                  <c:v>4.5333333333333368</c:v>
                </c:pt>
                <c:pt idx="41">
                  <c:v>-0.46666666666666323</c:v>
                </c:pt>
                <c:pt idx="42">
                  <c:v>2.517094017094017</c:v>
                </c:pt>
                <c:pt idx="43">
                  <c:v>3.517094017094017</c:v>
                </c:pt>
                <c:pt idx="44">
                  <c:v>0.53333333333333677</c:v>
                </c:pt>
                <c:pt idx="45">
                  <c:v>-1.482905982905983</c:v>
                </c:pt>
                <c:pt idx="46">
                  <c:v>-1.3428571428571434</c:v>
                </c:pt>
                <c:pt idx="47">
                  <c:v>3.517094017094017</c:v>
                </c:pt>
                <c:pt idx="48">
                  <c:v>0.51709401709401703</c:v>
                </c:pt>
                <c:pt idx="49">
                  <c:v>-0.34285714285714342</c:v>
                </c:pt>
                <c:pt idx="50">
                  <c:v>4.517094017094017</c:v>
                </c:pt>
                <c:pt idx="51">
                  <c:v>4.517094017094017</c:v>
                </c:pt>
                <c:pt idx="52">
                  <c:v>-0.48290598290598297</c:v>
                </c:pt>
                <c:pt idx="53">
                  <c:v>2.517094017094017</c:v>
                </c:pt>
                <c:pt idx="54">
                  <c:v>1.517094017094017</c:v>
                </c:pt>
                <c:pt idx="55">
                  <c:v>-2.482905982905983</c:v>
                </c:pt>
                <c:pt idx="56">
                  <c:v>-2.482905982905983</c:v>
                </c:pt>
                <c:pt idx="57">
                  <c:v>0.51709401709401703</c:v>
                </c:pt>
                <c:pt idx="58">
                  <c:v>-1.3428571428571434</c:v>
                </c:pt>
                <c:pt idx="59">
                  <c:v>1.6571428571428566</c:v>
                </c:pt>
                <c:pt idx="60">
                  <c:v>-1.482905982905983</c:v>
                </c:pt>
                <c:pt idx="61">
                  <c:v>-1.482905982905983</c:v>
                </c:pt>
                <c:pt idx="62">
                  <c:v>-0.48290598290598297</c:v>
                </c:pt>
                <c:pt idx="63">
                  <c:v>-2.482905982905983</c:v>
                </c:pt>
                <c:pt idx="64">
                  <c:v>3.517094017094017</c:v>
                </c:pt>
                <c:pt idx="65">
                  <c:v>-2.482905982905983</c:v>
                </c:pt>
                <c:pt idx="66">
                  <c:v>-2.482905982905983</c:v>
                </c:pt>
                <c:pt idx="67">
                  <c:v>-1.482905982905983</c:v>
                </c:pt>
                <c:pt idx="68">
                  <c:v>3.517094017094017</c:v>
                </c:pt>
                <c:pt idx="69">
                  <c:v>-12.482905982905983</c:v>
                </c:pt>
                <c:pt idx="70">
                  <c:v>-2.482905982905983</c:v>
                </c:pt>
                <c:pt idx="71">
                  <c:v>2.517094017094017</c:v>
                </c:pt>
                <c:pt idx="72">
                  <c:v>3.517094017094017</c:v>
                </c:pt>
                <c:pt idx="73">
                  <c:v>-0.48290598290598297</c:v>
                </c:pt>
                <c:pt idx="74">
                  <c:v>-0.34285714285714342</c:v>
                </c:pt>
                <c:pt idx="75">
                  <c:v>-0.48290598290598297</c:v>
                </c:pt>
                <c:pt idx="76">
                  <c:v>0.65714285714285658</c:v>
                </c:pt>
                <c:pt idx="77">
                  <c:v>-0.48290598290598297</c:v>
                </c:pt>
                <c:pt idx="78">
                  <c:v>2.517094017094017</c:v>
                </c:pt>
                <c:pt idx="79">
                  <c:v>-0.48290598290598297</c:v>
                </c:pt>
                <c:pt idx="80">
                  <c:v>-3.3428571428571434</c:v>
                </c:pt>
                <c:pt idx="81">
                  <c:v>-1.482905982905983</c:v>
                </c:pt>
                <c:pt idx="82">
                  <c:v>-1.482905982905983</c:v>
                </c:pt>
                <c:pt idx="83">
                  <c:v>3.517094017094017</c:v>
                </c:pt>
                <c:pt idx="84">
                  <c:v>-0.48290598290598297</c:v>
                </c:pt>
                <c:pt idx="85">
                  <c:v>0.51709401709401703</c:v>
                </c:pt>
                <c:pt idx="86">
                  <c:v>0.51709401709401703</c:v>
                </c:pt>
                <c:pt idx="87">
                  <c:v>-0.46666666666666323</c:v>
                </c:pt>
                <c:pt idx="88">
                  <c:v>-4.482905982905983</c:v>
                </c:pt>
                <c:pt idx="89">
                  <c:v>-2.482905982905983</c:v>
                </c:pt>
                <c:pt idx="90">
                  <c:v>0.51709401709401703</c:v>
                </c:pt>
                <c:pt idx="91">
                  <c:v>-2.482905982905983</c:v>
                </c:pt>
                <c:pt idx="92">
                  <c:v>0.51709401709401703</c:v>
                </c:pt>
                <c:pt idx="93">
                  <c:v>3.517094017094017</c:v>
                </c:pt>
                <c:pt idx="94">
                  <c:v>0.51709401709401703</c:v>
                </c:pt>
                <c:pt idx="95">
                  <c:v>4.517094017094017</c:v>
                </c:pt>
                <c:pt idx="96">
                  <c:v>-2.482905982905983</c:v>
                </c:pt>
                <c:pt idx="97">
                  <c:v>0.51709401709401703</c:v>
                </c:pt>
                <c:pt idx="98">
                  <c:v>0.53333333333333677</c:v>
                </c:pt>
                <c:pt idx="99">
                  <c:v>0.53333333333333677</c:v>
                </c:pt>
                <c:pt idx="100">
                  <c:v>4.517094017094017</c:v>
                </c:pt>
                <c:pt idx="101">
                  <c:v>4.517094017094017</c:v>
                </c:pt>
                <c:pt idx="102">
                  <c:v>0.65714285714285658</c:v>
                </c:pt>
                <c:pt idx="103">
                  <c:v>-0.48290598290598297</c:v>
                </c:pt>
                <c:pt idx="104">
                  <c:v>2.517094017094017</c:v>
                </c:pt>
                <c:pt idx="105">
                  <c:v>-1.482905982905983</c:v>
                </c:pt>
                <c:pt idx="106">
                  <c:v>0.65714285714285658</c:v>
                </c:pt>
                <c:pt idx="107">
                  <c:v>1.517094017094017</c:v>
                </c:pt>
                <c:pt idx="108">
                  <c:v>-3.482905982905983</c:v>
                </c:pt>
                <c:pt idx="109">
                  <c:v>-0.48290598290598297</c:v>
                </c:pt>
                <c:pt idx="110">
                  <c:v>-0.48290598290598297</c:v>
                </c:pt>
                <c:pt idx="111">
                  <c:v>4.517094017094017</c:v>
                </c:pt>
                <c:pt idx="112">
                  <c:v>-4.482905982905983</c:v>
                </c:pt>
                <c:pt idx="113">
                  <c:v>-0.48290598290598297</c:v>
                </c:pt>
                <c:pt idx="114">
                  <c:v>-0.34285714285714342</c:v>
                </c:pt>
                <c:pt idx="115">
                  <c:v>-2.482905982905983</c:v>
                </c:pt>
                <c:pt idx="116">
                  <c:v>5.517094017094017</c:v>
                </c:pt>
                <c:pt idx="117">
                  <c:v>1.517094017094017</c:v>
                </c:pt>
                <c:pt idx="118">
                  <c:v>-0.48290598290598297</c:v>
                </c:pt>
                <c:pt idx="119">
                  <c:v>-1.482905982905983</c:v>
                </c:pt>
                <c:pt idx="120">
                  <c:v>4.517094017094017</c:v>
                </c:pt>
                <c:pt idx="121">
                  <c:v>-2.4666666666666632</c:v>
                </c:pt>
                <c:pt idx="122">
                  <c:v>-0.46666666666666323</c:v>
                </c:pt>
                <c:pt idx="123">
                  <c:v>2.6571428571428566</c:v>
                </c:pt>
                <c:pt idx="124">
                  <c:v>6.517094017094017</c:v>
                </c:pt>
                <c:pt idx="125">
                  <c:v>3.517094017094017</c:v>
                </c:pt>
                <c:pt idx="126">
                  <c:v>-2.482905982905983</c:v>
                </c:pt>
                <c:pt idx="127">
                  <c:v>-3.482905982905983</c:v>
                </c:pt>
                <c:pt idx="128">
                  <c:v>-4.482905982905983</c:v>
                </c:pt>
                <c:pt idx="129">
                  <c:v>0.51709401709401703</c:v>
                </c:pt>
                <c:pt idx="130">
                  <c:v>-0.48290598290598297</c:v>
                </c:pt>
                <c:pt idx="131">
                  <c:v>-2.482905982905983</c:v>
                </c:pt>
                <c:pt idx="132">
                  <c:v>2.517094017094017</c:v>
                </c:pt>
                <c:pt idx="133">
                  <c:v>1.517094017094017</c:v>
                </c:pt>
                <c:pt idx="134">
                  <c:v>-3.482905982905983</c:v>
                </c:pt>
                <c:pt idx="135">
                  <c:v>-1.482905982905983</c:v>
                </c:pt>
                <c:pt idx="136">
                  <c:v>-0.48290598290598297</c:v>
                </c:pt>
                <c:pt idx="137">
                  <c:v>5.517094017094017</c:v>
                </c:pt>
                <c:pt idx="138">
                  <c:v>5.517094017094017</c:v>
                </c:pt>
                <c:pt idx="139">
                  <c:v>2.517094017094017</c:v>
                </c:pt>
                <c:pt idx="140">
                  <c:v>4.517094017094017</c:v>
                </c:pt>
                <c:pt idx="141">
                  <c:v>-0.34285714285714342</c:v>
                </c:pt>
                <c:pt idx="142">
                  <c:v>1.517094017094017</c:v>
                </c:pt>
                <c:pt idx="143">
                  <c:v>-0.48290598290598297</c:v>
                </c:pt>
                <c:pt idx="144">
                  <c:v>1.517094017094017</c:v>
                </c:pt>
                <c:pt idx="145">
                  <c:v>-3.482905982905983</c:v>
                </c:pt>
                <c:pt idx="146">
                  <c:v>-3.4666666666666632</c:v>
                </c:pt>
                <c:pt idx="147">
                  <c:v>-1.482905982905983</c:v>
                </c:pt>
                <c:pt idx="148">
                  <c:v>0.53333333333333677</c:v>
                </c:pt>
                <c:pt idx="149">
                  <c:v>-4.482905982905983</c:v>
                </c:pt>
                <c:pt idx="150">
                  <c:v>0.65714285714285658</c:v>
                </c:pt>
                <c:pt idx="151">
                  <c:v>-2.482905982905983</c:v>
                </c:pt>
                <c:pt idx="152">
                  <c:v>2.6571428571428566</c:v>
                </c:pt>
                <c:pt idx="153">
                  <c:v>0.65714285714285658</c:v>
                </c:pt>
                <c:pt idx="154">
                  <c:v>-2.482905982905983</c:v>
                </c:pt>
                <c:pt idx="155">
                  <c:v>-4.482905982905983</c:v>
                </c:pt>
                <c:pt idx="156">
                  <c:v>-2.482905982905983</c:v>
                </c:pt>
                <c:pt idx="157">
                  <c:v>-2.482905982905983</c:v>
                </c:pt>
                <c:pt idx="158">
                  <c:v>2.517094017094017</c:v>
                </c:pt>
                <c:pt idx="159">
                  <c:v>0.53333333333333677</c:v>
                </c:pt>
                <c:pt idx="160">
                  <c:v>2.517094017094017</c:v>
                </c:pt>
                <c:pt idx="161">
                  <c:v>-2.482905982905983</c:v>
                </c:pt>
                <c:pt idx="162">
                  <c:v>0.51709401709401703</c:v>
                </c:pt>
                <c:pt idx="163">
                  <c:v>-0.48290598290598297</c:v>
                </c:pt>
                <c:pt idx="164">
                  <c:v>-0.48290598290598297</c:v>
                </c:pt>
                <c:pt idx="165">
                  <c:v>-4.482905982905983</c:v>
                </c:pt>
                <c:pt idx="166">
                  <c:v>-1.482905982905983</c:v>
                </c:pt>
                <c:pt idx="167">
                  <c:v>-2.482905982905983</c:v>
                </c:pt>
                <c:pt idx="168">
                  <c:v>-0.46666666666666323</c:v>
                </c:pt>
                <c:pt idx="169">
                  <c:v>-1.482905982905983</c:v>
                </c:pt>
                <c:pt idx="170">
                  <c:v>1.5333333333333368</c:v>
                </c:pt>
                <c:pt idx="171">
                  <c:v>0.51709401709401703</c:v>
                </c:pt>
                <c:pt idx="172">
                  <c:v>-0.34285714285714342</c:v>
                </c:pt>
                <c:pt idx="173">
                  <c:v>2.6571428571428566</c:v>
                </c:pt>
                <c:pt idx="174">
                  <c:v>1.5333333333333368</c:v>
                </c:pt>
                <c:pt idx="175">
                  <c:v>2.517094017094017</c:v>
                </c:pt>
                <c:pt idx="176">
                  <c:v>-0.34285714285714342</c:v>
                </c:pt>
                <c:pt idx="177">
                  <c:v>0.51709401709401703</c:v>
                </c:pt>
                <c:pt idx="178">
                  <c:v>-1.482905982905983</c:v>
                </c:pt>
                <c:pt idx="179">
                  <c:v>-2.482905982905983</c:v>
                </c:pt>
                <c:pt idx="180">
                  <c:v>5.517094017094017</c:v>
                </c:pt>
                <c:pt idx="181">
                  <c:v>0.51709401709401703</c:v>
                </c:pt>
                <c:pt idx="182">
                  <c:v>-0.34285714285714342</c:v>
                </c:pt>
                <c:pt idx="183">
                  <c:v>0.51709401709401703</c:v>
                </c:pt>
                <c:pt idx="184">
                  <c:v>2.517094017094017</c:v>
                </c:pt>
                <c:pt idx="185">
                  <c:v>0.51709401709401703</c:v>
                </c:pt>
                <c:pt idx="186">
                  <c:v>-5.482905982905983</c:v>
                </c:pt>
                <c:pt idx="187">
                  <c:v>2.517094017094017</c:v>
                </c:pt>
                <c:pt idx="188">
                  <c:v>1.517094017094017</c:v>
                </c:pt>
                <c:pt idx="189">
                  <c:v>1.517094017094017</c:v>
                </c:pt>
                <c:pt idx="190">
                  <c:v>-0.48290598290598297</c:v>
                </c:pt>
                <c:pt idx="191">
                  <c:v>3.517094017094017</c:v>
                </c:pt>
                <c:pt idx="192">
                  <c:v>5.517094017094017</c:v>
                </c:pt>
                <c:pt idx="193">
                  <c:v>-1.482905982905983</c:v>
                </c:pt>
                <c:pt idx="194">
                  <c:v>3.517094017094017</c:v>
                </c:pt>
                <c:pt idx="195">
                  <c:v>-0.48290598290598297</c:v>
                </c:pt>
                <c:pt idx="196">
                  <c:v>0.51709401709401703</c:v>
                </c:pt>
                <c:pt idx="197">
                  <c:v>2.517094017094017</c:v>
                </c:pt>
                <c:pt idx="198">
                  <c:v>-0.48290598290598297</c:v>
                </c:pt>
                <c:pt idx="199">
                  <c:v>-1.482905982905983</c:v>
                </c:pt>
                <c:pt idx="200">
                  <c:v>2.517094017094017</c:v>
                </c:pt>
                <c:pt idx="201">
                  <c:v>1.5333333333333368</c:v>
                </c:pt>
                <c:pt idx="202">
                  <c:v>-2.482905982905983</c:v>
                </c:pt>
                <c:pt idx="203">
                  <c:v>1.517094017094017</c:v>
                </c:pt>
                <c:pt idx="204">
                  <c:v>-4.482905982905983</c:v>
                </c:pt>
                <c:pt idx="205">
                  <c:v>5.517094017094017</c:v>
                </c:pt>
                <c:pt idx="206">
                  <c:v>2.517094017094017</c:v>
                </c:pt>
                <c:pt idx="207">
                  <c:v>-0.46666666666666323</c:v>
                </c:pt>
                <c:pt idx="208">
                  <c:v>1.6571428571428566</c:v>
                </c:pt>
                <c:pt idx="209">
                  <c:v>1.517094017094017</c:v>
                </c:pt>
                <c:pt idx="210">
                  <c:v>-0.48290598290598297</c:v>
                </c:pt>
                <c:pt idx="211">
                  <c:v>-1.482905982905983</c:v>
                </c:pt>
                <c:pt idx="212">
                  <c:v>-2.482905982905983</c:v>
                </c:pt>
                <c:pt idx="213">
                  <c:v>2.517094017094017</c:v>
                </c:pt>
                <c:pt idx="214">
                  <c:v>0.51709401709401703</c:v>
                </c:pt>
                <c:pt idx="215">
                  <c:v>0.53333333333333677</c:v>
                </c:pt>
                <c:pt idx="216">
                  <c:v>0.51709401709401703</c:v>
                </c:pt>
                <c:pt idx="217">
                  <c:v>3.517094017094017</c:v>
                </c:pt>
                <c:pt idx="218">
                  <c:v>-1.482905982905983</c:v>
                </c:pt>
                <c:pt idx="219">
                  <c:v>-12.482905982905983</c:v>
                </c:pt>
                <c:pt idx="220">
                  <c:v>-2.482905982905983</c:v>
                </c:pt>
                <c:pt idx="221">
                  <c:v>-1.4666666666666632</c:v>
                </c:pt>
                <c:pt idx="222">
                  <c:v>4.517094017094017</c:v>
                </c:pt>
                <c:pt idx="223">
                  <c:v>3.517094017094017</c:v>
                </c:pt>
                <c:pt idx="224">
                  <c:v>-1.482905982905983</c:v>
                </c:pt>
                <c:pt idx="225">
                  <c:v>2.517094017094017</c:v>
                </c:pt>
                <c:pt idx="226">
                  <c:v>-1.4666666666666632</c:v>
                </c:pt>
                <c:pt idx="227">
                  <c:v>-3.482905982905983</c:v>
                </c:pt>
                <c:pt idx="228">
                  <c:v>0.51709401709401703</c:v>
                </c:pt>
                <c:pt idx="229">
                  <c:v>4.517094017094017</c:v>
                </c:pt>
                <c:pt idx="230">
                  <c:v>3.5333333333333368</c:v>
                </c:pt>
                <c:pt idx="231">
                  <c:v>-1.482905982905983</c:v>
                </c:pt>
                <c:pt idx="232">
                  <c:v>-0.48290598290598297</c:v>
                </c:pt>
                <c:pt idx="233">
                  <c:v>4.517094017094017</c:v>
                </c:pt>
                <c:pt idx="234">
                  <c:v>-3.482905982905983</c:v>
                </c:pt>
                <c:pt idx="235">
                  <c:v>2.517094017094017</c:v>
                </c:pt>
                <c:pt idx="236">
                  <c:v>-1.4666666666666632</c:v>
                </c:pt>
                <c:pt idx="237">
                  <c:v>-2.482905982905983</c:v>
                </c:pt>
                <c:pt idx="238">
                  <c:v>2.517094017094017</c:v>
                </c:pt>
                <c:pt idx="239">
                  <c:v>-1.3428571428571434</c:v>
                </c:pt>
                <c:pt idx="240">
                  <c:v>-1.482905982905983</c:v>
                </c:pt>
                <c:pt idx="241">
                  <c:v>4.517094017094017</c:v>
                </c:pt>
                <c:pt idx="242">
                  <c:v>-2.482905982905983</c:v>
                </c:pt>
                <c:pt idx="243">
                  <c:v>-0.48290598290598297</c:v>
                </c:pt>
                <c:pt idx="244">
                  <c:v>-0.48290598290598297</c:v>
                </c:pt>
                <c:pt idx="245">
                  <c:v>1.517094017094017</c:v>
                </c:pt>
                <c:pt idx="246">
                  <c:v>-1.482905982905983</c:v>
                </c:pt>
                <c:pt idx="247">
                  <c:v>2.517094017094017</c:v>
                </c:pt>
                <c:pt idx="248">
                  <c:v>2.517094017094017</c:v>
                </c:pt>
                <c:pt idx="249">
                  <c:v>-4.482905982905983</c:v>
                </c:pt>
                <c:pt idx="250">
                  <c:v>-0.34285714285714342</c:v>
                </c:pt>
                <c:pt idx="251">
                  <c:v>-2.4666666666666632</c:v>
                </c:pt>
                <c:pt idx="252">
                  <c:v>1.517094017094017</c:v>
                </c:pt>
                <c:pt idx="253">
                  <c:v>-0.48290598290598297</c:v>
                </c:pt>
                <c:pt idx="254">
                  <c:v>-2.4666666666666632</c:v>
                </c:pt>
                <c:pt idx="255">
                  <c:v>0.51709401709401703</c:v>
                </c:pt>
                <c:pt idx="256">
                  <c:v>3.517094017094017</c:v>
                </c:pt>
                <c:pt idx="257">
                  <c:v>-3.3428571428571434</c:v>
                </c:pt>
                <c:pt idx="258">
                  <c:v>2.517094017094017</c:v>
                </c:pt>
                <c:pt idx="259">
                  <c:v>0.51709401709401703</c:v>
                </c:pt>
                <c:pt idx="260">
                  <c:v>1.517094017094017</c:v>
                </c:pt>
                <c:pt idx="261">
                  <c:v>2.517094017094017</c:v>
                </c:pt>
                <c:pt idx="262">
                  <c:v>1.5333333333333368</c:v>
                </c:pt>
                <c:pt idx="263">
                  <c:v>0.51709401709401703</c:v>
                </c:pt>
                <c:pt idx="264">
                  <c:v>-0.34285714285714342</c:v>
                </c:pt>
                <c:pt idx="265">
                  <c:v>-0.48290598290598297</c:v>
                </c:pt>
                <c:pt idx="266">
                  <c:v>3.517094017094017</c:v>
                </c:pt>
                <c:pt idx="267">
                  <c:v>0.51709401709401703</c:v>
                </c:pt>
                <c:pt idx="268">
                  <c:v>-3.482905982905983</c:v>
                </c:pt>
                <c:pt idx="269">
                  <c:v>-1.4666666666666632</c:v>
                </c:pt>
                <c:pt idx="270">
                  <c:v>1.6571428571428566</c:v>
                </c:pt>
                <c:pt idx="271">
                  <c:v>-1.482905982905983</c:v>
                </c:pt>
                <c:pt idx="272">
                  <c:v>-4.482905982905983</c:v>
                </c:pt>
                <c:pt idx="273">
                  <c:v>-1.482905982905983</c:v>
                </c:pt>
                <c:pt idx="274">
                  <c:v>-1.3428571428571434</c:v>
                </c:pt>
                <c:pt idx="275">
                  <c:v>1.517094017094017</c:v>
                </c:pt>
                <c:pt idx="276">
                  <c:v>3.517094017094017</c:v>
                </c:pt>
                <c:pt idx="277">
                  <c:v>-0.46666666666666323</c:v>
                </c:pt>
                <c:pt idx="278">
                  <c:v>0.53333333333333677</c:v>
                </c:pt>
                <c:pt idx="279">
                  <c:v>1.517094017094017</c:v>
                </c:pt>
                <c:pt idx="280">
                  <c:v>3.517094017094017</c:v>
                </c:pt>
                <c:pt idx="281">
                  <c:v>3.517094017094017</c:v>
                </c:pt>
                <c:pt idx="282">
                  <c:v>-4.482905982905983</c:v>
                </c:pt>
                <c:pt idx="283">
                  <c:v>-1.482905982905983</c:v>
                </c:pt>
                <c:pt idx="284">
                  <c:v>1.517094017094017</c:v>
                </c:pt>
                <c:pt idx="285">
                  <c:v>-2.482905982905983</c:v>
                </c:pt>
                <c:pt idx="286">
                  <c:v>1.5333333333333368</c:v>
                </c:pt>
                <c:pt idx="287">
                  <c:v>-1.482905982905983</c:v>
                </c:pt>
                <c:pt idx="288">
                  <c:v>1.517094017094017</c:v>
                </c:pt>
                <c:pt idx="289">
                  <c:v>1.517094017094017</c:v>
                </c:pt>
                <c:pt idx="290">
                  <c:v>1.6571428571428566</c:v>
                </c:pt>
                <c:pt idx="291">
                  <c:v>-0.48290598290598297</c:v>
                </c:pt>
                <c:pt idx="292">
                  <c:v>-1.3428571428571434</c:v>
                </c:pt>
                <c:pt idx="293">
                  <c:v>1.517094017094017</c:v>
                </c:pt>
                <c:pt idx="294">
                  <c:v>-0.48290598290598297</c:v>
                </c:pt>
                <c:pt idx="295">
                  <c:v>-1.482905982905983</c:v>
                </c:pt>
                <c:pt idx="296">
                  <c:v>-0.48290598290598297</c:v>
                </c:pt>
                <c:pt idx="297">
                  <c:v>-1.482905982905983</c:v>
                </c:pt>
                <c:pt idx="298">
                  <c:v>-12.482905982905983</c:v>
                </c:pt>
              </c:numCache>
            </c:numRef>
          </c:yVal>
          <c:smooth val="0"/>
          <c:extLst>
            <c:ext xmlns:c16="http://schemas.microsoft.com/office/drawing/2014/chart" uri="{C3380CC4-5D6E-409C-BE32-E72D297353CC}">
              <c16:uniqueId val="{00000000-779A-E94E-BF4D-2102187A7AE5}"/>
            </c:ext>
          </c:extLst>
        </c:ser>
        <c:dLbls>
          <c:showLegendKey val="0"/>
          <c:showVal val="0"/>
          <c:showCatName val="0"/>
          <c:showSerName val="0"/>
          <c:showPercent val="0"/>
          <c:showBubbleSize val="0"/>
        </c:dLbls>
        <c:axId val="58901376"/>
        <c:axId val="126863552"/>
      </c:scatterChart>
      <c:valAx>
        <c:axId val="58901376"/>
        <c:scaling>
          <c:orientation val="minMax"/>
        </c:scaling>
        <c:delete val="0"/>
        <c:axPos val="b"/>
        <c:title>
          <c:tx>
            <c:rich>
              <a:bodyPr/>
              <a:lstStyle/>
              <a:p>
                <a:pPr>
                  <a:defRPr/>
                </a:pPr>
                <a:r>
                  <a:rPr lang="en-US"/>
                  <a:t>College</a:t>
                </a:r>
              </a:p>
            </c:rich>
          </c:tx>
          <c:overlay val="0"/>
        </c:title>
        <c:majorTickMark val="out"/>
        <c:minorTickMark val="none"/>
        <c:tickLblPos val="nextTo"/>
        <c:crossAx val="126863552"/>
        <c:crosses val="autoZero"/>
        <c:crossBetween val="midCat"/>
      </c:valAx>
      <c:valAx>
        <c:axId val="126863552"/>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5890137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515922116878248"/>
          <c:y val="4.7577854671280277E-2"/>
          <c:w val="0.8207364704411948"/>
          <c:h val="0.80536332179930781"/>
        </c:manualLayout>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'Residual Output'!$B$26:$B$324</c:f>
              <c:numCache>
                <c:formatCode>General</c:formatCode>
                <c:ptCount val="299"/>
                <c:pt idx="0">
                  <c:v>11.342857142857143</c:v>
                </c:pt>
                <c:pt idx="1">
                  <c:v>12.482905982905983</c:v>
                </c:pt>
                <c:pt idx="2">
                  <c:v>12.482905982905983</c:v>
                </c:pt>
                <c:pt idx="3">
                  <c:v>12.482905982905983</c:v>
                </c:pt>
                <c:pt idx="4">
                  <c:v>12.482905982905983</c:v>
                </c:pt>
                <c:pt idx="5">
                  <c:v>12.482905982905983</c:v>
                </c:pt>
                <c:pt idx="6">
                  <c:v>12.482905982905983</c:v>
                </c:pt>
                <c:pt idx="7">
                  <c:v>12.482905982905983</c:v>
                </c:pt>
                <c:pt idx="8">
                  <c:v>12.482905982905983</c:v>
                </c:pt>
                <c:pt idx="9">
                  <c:v>12.482905982905983</c:v>
                </c:pt>
                <c:pt idx="10">
                  <c:v>12.482905982905983</c:v>
                </c:pt>
                <c:pt idx="11">
                  <c:v>12.482905982905983</c:v>
                </c:pt>
                <c:pt idx="12">
                  <c:v>9.4666666666666632</c:v>
                </c:pt>
                <c:pt idx="13">
                  <c:v>12.482905982905983</c:v>
                </c:pt>
                <c:pt idx="14">
                  <c:v>12.482905982905983</c:v>
                </c:pt>
                <c:pt idx="15">
                  <c:v>12.482905982905983</c:v>
                </c:pt>
                <c:pt idx="16">
                  <c:v>12.482905982905983</c:v>
                </c:pt>
                <c:pt idx="17">
                  <c:v>12.482905982905983</c:v>
                </c:pt>
                <c:pt idx="18">
                  <c:v>12.482905982905983</c:v>
                </c:pt>
                <c:pt idx="19">
                  <c:v>12.482905982905983</c:v>
                </c:pt>
                <c:pt idx="20">
                  <c:v>12.482905982905983</c:v>
                </c:pt>
                <c:pt idx="21">
                  <c:v>12.482905982905983</c:v>
                </c:pt>
                <c:pt idx="22">
                  <c:v>12.482905982905983</c:v>
                </c:pt>
                <c:pt idx="23">
                  <c:v>12.482905982905983</c:v>
                </c:pt>
                <c:pt idx="24">
                  <c:v>12.482905982905983</c:v>
                </c:pt>
                <c:pt idx="25">
                  <c:v>12.482905982905983</c:v>
                </c:pt>
                <c:pt idx="26">
                  <c:v>12.482905982905983</c:v>
                </c:pt>
                <c:pt idx="27">
                  <c:v>11.342857142857143</c:v>
                </c:pt>
                <c:pt idx="28">
                  <c:v>11.342857142857143</c:v>
                </c:pt>
                <c:pt idx="29">
                  <c:v>12.482905982905983</c:v>
                </c:pt>
                <c:pt idx="30">
                  <c:v>12.482905982905983</c:v>
                </c:pt>
                <c:pt idx="31">
                  <c:v>11.342857142857143</c:v>
                </c:pt>
                <c:pt idx="32">
                  <c:v>9.4666666666666632</c:v>
                </c:pt>
                <c:pt idx="33">
                  <c:v>11.342857142857143</c:v>
                </c:pt>
                <c:pt idx="34">
                  <c:v>11.342857142857143</c:v>
                </c:pt>
                <c:pt idx="35">
                  <c:v>12.482905982905983</c:v>
                </c:pt>
                <c:pt idx="36">
                  <c:v>12.482905982905983</c:v>
                </c:pt>
                <c:pt idx="37">
                  <c:v>12.482905982905983</c:v>
                </c:pt>
                <c:pt idx="38">
                  <c:v>12.482905982905983</c:v>
                </c:pt>
                <c:pt idx="39">
                  <c:v>11.342857142857143</c:v>
                </c:pt>
                <c:pt idx="40">
                  <c:v>9.4666666666666632</c:v>
                </c:pt>
                <c:pt idx="41">
                  <c:v>9.4666666666666632</c:v>
                </c:pt>
                <c:pt idx="42">
                  <c:v>12.482905982905983</c:v>
                </c:pt>
                <c:pt idx="43">
                  <c:v>12.482905982905983</c:v>
                </c:pt>
                <c:pt idx="44">
                  <c:v>9.4666666666666632</c:v>
                </c:pt>
                <c:pt idx="45">
                  <c:v>12.482905982905983</c:v>
                </c:pt>
                <c:pt idx="46">
                  <c:v>11.342857142857143</c:v>
                </c:pt>
                <c:pt idx="47">
                  <c:v>12.482905982905983</c:v>
                </c:pt>
                <c:pt idx="48">
                  <c:v>12.482905982905983</c:v>
                </c:pt>
                <c:pt idx="49">
                  <c:v>11.342857142857143</c:v>
                </c:pt>
                <c:pt idx="50">
                  <c:v>12.482905982905983</c:v>
                </c:pt>
                <c:pt idx="51">
                  <c:v>12.482905982905983</c:v>
                </c:pt>
                <c:pt idx="52">
                  <c:v>12.482905982905983</c:v>
                </c:pt>
                <c:pt idx="53">
                  <c:v>12.482905982905983</c:v>
                </c:pt>
                <c:pt idx="54">
                  <c:v>12.482905982905983</c:v>
                </c:pt>
                <c:pt idx="55">
                  <c:v>12.482905982905983</c:v>
                </c:pt>
                <c:pt idx="56">
                  <c:v>12.482905982905983</c:v>
                </c:pt>
                <c:pt idx="57">
                  <c:v>12.482905982905983</c:v>
                </c:pt>
                <c:pt idx="58">
                  <c:v>11.342857142857143</c:v>
                </c:pt>
                <c:pt idx="59">
                  <c:v>11.342857142857143</c:v>
                </c:pt>
                <c:pt idx="60">
                  <c:v>12.482905982905983</c:v>
                </c:pt>
                <c:pt idx="61">
                  <c:v>12.482905982905983</c:v>
                </c:pt>
                <c:pt idx="62">
                  <c:v>12.482905982905983</c:v>
                </c:pt>
                <c:pt idx="63">
                  <c:v>12.482905982905983</c:v>
                </c:pt>
                <c:pt idx="64">
                  <c:v>12.482905982905983</c:v>
                </c:pt>
                <c:pt idx="65">
                  <c:v>12.482905982905983</c:v>
                </c:pt>
                <c:pt idx="66">
                  <c:v>12.482905982905983</c:v>
                </c:pt>
                <c:pt idx="67">
                  <c:v>12.482905982905983</c:v>
                </c:pt>
                <c:pt idx="68">
                  <c:v>12.482905982905983</c:v>
                </c:pt>
                <c:pt idx="69">
                  <c:v>12.482905982905983</c:v>
                </c:pt>
                <c:pt idx="70">
                  <c:v>12.482905982905983</c:v>
                </c:pt>
                <c:pt idx="71">
                  <c:v>12.482905982905983</c:v>
                </c:pt>
                <c:pt idx="72">
                  <c:v>12.482905982905983</c:v>
                </c:pt>
                <c:pt idx="73">
                  <c:v>12.482905982905983</c:v>
                </c:pt>
                <c:pt idx="74">
                  <c:v>11.342857142857143</c:v>
                </c:pt>
                <c:pt idx="75">
                  <c:v>12.482905982905983</c:v>
                </c:pt>
                <c:pt idx="76">
                  <c:v>11.342857142857143</c:v>
                </c:pt>
                <c:pt idx="77">
                  <c:v>12.482905982905983</c:v>
                </c:pt>
                <c:pt idx="78">
                  <c:v>12.482905982905983</c:v>
                </c:pt>
                <c:pt idx="79">
                  <c:v>12.482905982905983</c:v>
                </c:pt>
                <c:pt idx="80">
                  <c:v>11.342857142857143</c:v>
                </c:pt>
                <c:pt idx="81">
                  <c:v>12.482905982905983</c:v>
                </c:pt>
                <c:pt idx="82">
                  <c:v>12.482905982905983</c:v>
                </c:pt>
                <c:pt idx="83">
                  <c:v>12.482905982905983</c:v>
                </c:pt>
                <c:pt idx="84">
                  <c:v>12.482905982905983</c:v>
                </c:pt>
                <c:pt idx="85">
                  <c:v>12.482905982905983</c:v>
                </c:pt>
                <c:pt idx="86">
                  <c:v>12.482905982905983</c:v>
                </c:pt>
                <c:pt idx="87">
                  <c:v>9.4666666666666632</c:v>
                </c:pt>
                <c:pt idx="88">
                  <c:v>12.482905982905983</c:v>
                </c:pt>
                <c:pt idx="89">
                  <c:v>12.482905982905983</c:v>
                </c:pt>
                <c:pt idx="90">
                  <c:v>12.482905982905983</c:v>
                </c:pt>
                <c:pt idx="91">
                  <c:v>12.482905982905983</c:v>
                </c:pt>
                <c:pt idx="92">
                  <c:v>12.482905982905983</c:v>
                </c:pt>
                <c:pt idx="93">
                  <c:v>12.482905982905983</c:v>
                </c:pt>
                <c:pt idx="94">
                  <c:v>12.482905982905983</c:v>
                </c:pt>
                <c:pt idx="95">
                  <c:v>12.482905982905983</c:v>
                </c:pt>
                <c:pt idx="96">
                  <c:v>12.482905982905983</c:v>
                </c:pt>
                <c:pt idx="97">
                  <c:v>12.482905982905983</c:v>
                </c:pt>
                <c:pt idx="98">
                  <c:v>9.4666666666666632</c:v>
                </c:pt>
                <c:pt idx="99">
                  <c:v>9.4666666666666632</c:v>
                </c:pt>
                <c:pt idx="100">
                  <c:v>12.482905982905983</c:v>
                </c:pt>
                <c:pt idx="101">
                  <c:v>12.482905982905983</c:v>
                </c:pt>
                <c:pt idx="102">
                  <c:v>11.342857142857143</c:v>
                </c:pt>
                <c:pt idx="103">
                  <c:v>12.482905982905983</c:v>
                </c:pt>
                <c:pt idx="104">
                  <c:v>12.482905982905983</c:v>
                </c:pt>
                <c:pt idx="105">
                  <c:v>12.482905982905983</c:v>
                </c:pt>
                <c:pt idx="106">
                  <c:v>11.342857142857143</c:v>
                </c:pt>
                <c:pt idx="107">
                  <c:v>12.482905982905983</c:v>
                </c:pt>
                <c:pt idx="108">
                  <c:v>12.482905982905983</c:v>
                </c:pt>
                <c:pt idx="109">
                  <c:v>12.482905982905983</c:v>
                </c:pt>
                <c:pt idx="110">
                  <c:v>12.482905982905983</c:v>
                </c:pt>
                <c:pt idx="111">
                  <c:v>12.482905982905983</c:v>
                </c:pt>
                <c:pt idx="112">
                  <c:v>12.482905982905983</c:v>
                </c:pt>
                <c:pt idx="113">
                  <c:v>12.482905982905983</c:v>
                </c:pt>
                <c:pt idx="114">
                  <c:v>11.342857142857143</c:v>
                </c:pt>
                <c:pt idx="115">
                  <c:v>12.482905982905983</c:v>
                </c:pt>
                <c:pt idx="116">
                  <c:v>12.482905982905983</c:v>
                </c:pt>
                <c:pt idx="117">
                  <c:v>12.482905982905983</c:v>
                </c:pt>
                <c:pt idx="118">
                  <c:v>12.482905982905983</c:v>
                </c:pt>
                <c:pt idx="119">
                  <c:v>12.482905982905983</c:v>
                </c:pt>
                <c:pt idx="120">
                  <c:v>12.482905982905983</c:v>
                </c:pt>
                <c:pt idx="121">
                  <c:v>9.4666666666666632</c:v>
                </c:pt>
                <c:pt idx="122">
                  <c:v>9.4666666666666632</c:v>
                </c:pt>
                <c:pt idx="123">
                  <c:v>11.342857142857143</c:v>
                </c:pt>
                <c:pt idx="124">
                  <c:v>12.482905982905983</c:v>
                </c:pt>
                <c:pt idx="125">
                  <c:v>12.482905982905983</c:v>
                </c:pt>
                <c:pt idx="126">
                  <c:v>12.482905982905983</c:v>
                </c:pt>
                <c:pt idx="127">
                  <c:v>12.482905982905983</c:v>
                </c:pt>
                <c:pt idx="128">
                  <c:v>12.482905982905983</c:v>
                </c:pt>
                <c:pt idx="129">
                  <c:v>12.482905982905983</c:v>
                </c:pt>
                <c:pt idx="130">
                  <c:v>12.482905982905983</c:v>
                </c:pt>
                <c:pt idx="131">
                  <c:v>12.482905982905983</c:v>
                </c:pt>
                <c:pt idx="132">
                  <c:v>12.482905982905983</c:v>
                </c:pt>
                <c:pt idx="133">
                  <c:v>12.482905982905983</c:v>
                </c:pt>
                <c:pt idx="134">
                  <c:v>12.482905982905983</c:v>
                </c:pt>
                <c:pt idx="135">
                  <c:v>12.482905982905983</c:v>
                </c:pt>
                <c:pt idx="136">
                  <c:v>12.482905982905983</c:v>
                </c:pt>
                <c:pt idx="137">
                  <c:v>12.482905982905983</c:v>
                </c:pt>
                <c:pt idx="138">
                  <c:v>12.482905982905983</c:v>
                </c:pt>
                <c:pt idx="139">
                  <c:v>12.482905982905983</c:v>
                </c:pt>
                <c:pt idx="140">
                  <c:v>12.482905982905983</c:v>
                </c:pt>
                <c:pt idx="141">
                  <c:v>11.342857142857143</c:v>
                </c:pt>
                <c:pt idx="142">
                  <c:v>12.482905982905983</c:v>
                </c:pt>
                <c:pt idx="143">
                  <c:v>12.482905982905983</c:v>
                </c:pt>
                <c:pt idx="144">
                  <c:v>12.482905982905983</c:v>
                </c:pt>
                <c:pt idx="145">
                  <c:v>12.482905982905983</c:v>
                </c:pt>
                <c:pt idx="146">
                  <c:v>9.4666666666666632</c:v>
                </c:pt>
                <c:pt idx="147">
                  <c:v>12.482905982905983</c:v>
                </c:pt>
                <c:pt idx="148">
                  <c:v>9.4666666666666632</c:v>
                </c:pt>
                <c:pt idx="149">
                  <c:v>12.482905982905983</c:v>
                </c:pt>
                <c:pt idx="150">
                  <c:v>11.342857142857143</c:v>
                </c:pt>
                <c:pt idx="151">
                  <c:v>12.482905982905983</c:v>
                </c:pt>
                <c:pt idx="152">
                  <c:v>11.342857142857143</c:v>
                </c:pt>
                <c:pt idx="153">
                  <c:v>11.342857142857143</c:v>
                </c:pt>
                <c:pt idx="154">
                  <c:v>12.482905982905983</c:v>
                </c:pt>
                <c:pt idx="155">
                  <c:v>12.482905982905983</c:v>
                </c:pt>
                <c:pt idx="156">
                  <c:v>12.482905982905983</c:v>
                </c:pt>
                <c:pt idx="157">
                  <c:v>12.482905982905983</c:v>
                </c:pt>
                <c:pt idx="158">
                  <c:v>12.482905982905983</c:v>
                </c:pt>
                <c:pt idx="159">
                  <c:v>9.4666666666666632</c:v>
                </c:pt>
                <c:pt idx="160">
                  <c:v>12.482905982905983</c:v>
                </c:pt>
                <c:pt idx="161">
                  <c:v>12.482905982905983</c:v>
                </c:pt>
                <c:pt idx="162">
                  <c:v>12.482905982905983</c:v>
                </c:pt>
                <c:pt idx="163">
                  <c:v>12.482905982905983</c:v>
                </c:pt>
                <c:pt idx="164">
                  <c:v>12.482905982905983</c:v>
                </c:pt>
                <c:pt idx="165">
                  <c:v>12.482905982905983</c:v>
                </c:pt>
                <c:pt idx="166">
                  <c:v>12.482905982905983</c:v>
                </c:pt>
                <c:pt idx="167">
                  <c:v>12.482905982905983</c:v>
                </c:pt>
                <c:pt idx="168">
                  <c:v>9.4666666666666632</c:v>
                </c:pt>
                <c:pt idx="169">
                  <c:v>12.482905982905983</c:v>
                </c:pt>
                <c:pt idx="170">
                  <c:v>9.4666666666666632</c:v>
                </c:pt>
                <c:pt idx="171">
                  <c:v>12.482905982905983</c:v>
                </c:pt>
                <c:pt idx="172">
                  <c:v>11.342857142857143</c:v>
                </c:pt>
                <c:pt idx="173">
                  <c:v>11.342857142857143</c:v>
                </c:pt>
                <c:pt idx="174">
                  <c:v>9.4666666666666632</c:v>
                </c:pt>
                <c:pt idx="175">
                  <c:v>12.482905982905983</c:v>
                </c:pt>
                <c:pt idx="176">
                  <c:v>11.342857142857143</c:v>
                </c:pt>
                <c:pt idx="177">
                  <c:v>12.482905982905983</c:v>
                </c:pt>
                <c:pt idx="178">
                  <c:v>12.482905982905983</c:v>
                </c:pt>
                <c:pt idx="179">
                  <c:v>12.482905982905983</c:v>
                </c:pt>
                <c:pt idx="180">
                  <c:v>12.482905982905983</c:v>
                </c:pt>
                <c:pt idx="181">
                  <c:v>12.482905982905983</c:v>
                </c:pt>
                <c:pt idx="182">
                  <c:v>11.342857142857143</c:v>
                </c:pt>
                <c:pt idx="183">
                  <c:v>12.482905982905983</c:v>
                </c:pt>
                <c:pt idx="184">
                  <c:v>12.482905982905983</c:v>
                </c:pt>
                <c:pt idx="185">
                  <c:v>12.482905982905983</c:v>
                </c:pt>
                <c:pt idx="186">
                  <c:v>12.482905982905983</c:v>
                </c:pt>
                <c:pt idx="187">
                  <c:v>12.482905982905983</c:v>
                </c:pt>
                <c:pt idx="188">
                  <c:v>12.482905982905983</c:v>
                </c:pt>
                <c:pt idx="189">
                  <c:v>12.482905982905983</c:v>
                </c:pt>
                <c:pt idx="190">
                  <c:v>12.482905982905983</c:v>
                </c:pt>
                <c:pt idx="191">
                  <c:v>12.482905982905983</c:v>
                </c:pt>
                <c:pt idx="192">
                  <c:v>12.482905982905983</c:v>
                </c:pt>
                <c:pt idx="193">
                  <c:v>12.482905982905983</c:v>
                </c:pt>
                <c:pt idx="194">
                  <c:v>12.482905982905983</c:v>
                </c:pt>
                <c:pt idx="195">
                  <c:v>12.482905982905983</c:v>
                </c:pt>
                <c:pt idx="196">
                  <c:v>12.482905982905983</c:v>
                </c:pt>
                <c:pt idx="197">
                  <c:v>12.482905982905983</c:v>
                </c:pt>
                <c:pt idx="198">
                  <c:v>12.482905982905983</c:v>
                </c:pt>
                <c:pt idx="199">
                  <c:v>12.482905982905983</c:v>
                </c:pt>
                <c:pt idx="200">
                  <c:v>12.482905982905983</c:v>
                </c:pt>
                <c:pt idx="201">
                  <c:v>9.4666666666666632</c:v>
                </c:pt>
                <c:pt idx="202">
                  <c:v>12.482905982905983</c:v>
                </c:pt>
                <c:pt idx="203">
                  <c:v>12.482905982905983</c:v>
                </c:pt>
                <c:pt idx="204">
                  <c:v>12.482905982905983</c:v>
                </c:pt>
                <c:pt idx="205">
                  <c:v>12.482905982905983</c:v>
                </c:pt>
                <c:pt idx="206">
                  <c:v>12.482905982905983</c:v>
                </c:pt>
                <c:pt idx="207">
                  <c:v>9.4666666666666632</c:v>
                </c:pt>
                <c:pt idx="208">
                  <c:v>11.342857142857143</c:v>
                </c:pt>
                <c:pt idx="209">
                  <c:v>12.482905982905983</c:v>
                </c:pt>
                <c:pt idx="210">
                  <c:v>12.482905982905983</c:v>
                </c:pt>
                <c:pt idx="211">
                  <c:v>12.482905982905983</c:v>
                </c:pt>
                <c:pt idx="212">
                  <c:v>12.482905982905983</c:v>
                </c:pt>
                <c:pt idx="213">
                  <c:v>12.482905982905983</c:v>
                </c:pt>
                <c:pt idx="214">
                  <c:v>12.482905982905983</c:v>
                </c:pt>
                <c:pt idx="215">
                  <c:v>9.4666666666666632</c:v>
                </c:pt>
                <c:pt idx="216">
                  <c:v>12.482905982905983</c:v>
                </c:pt>
                <c:pt idx="217">
                  <c:v>12.482905982905983</c:v>
                </c:pt>
                <c:pt idx="218">
                  <c:v>12.482905982905983</c:v>
                </c:pt>
                <c:pt idx="219">
                  <c:v>12.482905982905983</c:v>
                </c:pt>
                <c:pt idx="220">
                  <c:v>12.482905982905983</c:v>
                </c:pt>
                <c:pt idx="221">
                  <c:v>9.4666666666666632</c:v>
                </c:pt>
                <c:pt idx="222">
                  <c:v>12.482905982905983</c:v>
                </c:pt>
                <c:pt idx="223">
                  <c:v>12.482905982905983</c:v>
                </c:pt>
                <c:pt idx="224">
                  <c:v>12.482905982905983</c:v>
                </c:pt>
                <c:pt idx="225">
                  <c:v>12.482905982905983</c:v>
                </c:pt>
                <c:pt idx="226">
                  <c:v>9.4666666666666632</c:v>
                </c:pt>
                <c:pt idx="227">
                  <c:v>12.482905982905983</c:v>
                </c:pt>
                <c:pt idx="228">
                  <c:v>12.482905982905983</c:v>
                </c:pt>
                <c:pt idx="229">
                  <c:v>12.482905982905983</c:v>
                </c:pt>
                <c:pt idx="230">
                  <c:v>9.4666666666666632</c:v>
                </c:pt>
                <c:pt idx="231">
                  <c:v>12.482905982905983</c:v>
                </c:pt>
                <c:pt idx="232">
                  <c:v>12.482905982905983</c:v>
                </c:pt>
                <c:pt idx="233">
                  <c:v>12.482905982905983</c:v>
                </c:pt>
                <c:pt idx="234">
                  <c:v>12.482905982905983</c:v>
                </c:pt>
                <c:pt idx="235">
                  <c:v>12.482905982905983</c:v>
                </c:pt>
                <c:pt idx="236">
                  <c:v>9.4666666666666632</c:v>
                </c:pt>
                <c:pt idx="237">
                  <c:v>12.482905982905983</c:v>
                </c:pt>
                <c:pt idx="238">
                  <c:v>12.482905982905983</c:v>
                </c:pt>
                <c:pt idx="239">
                  <c:v>11.342857142857143</c:v>
                </c:pt>
                <c:pt idx="240">
                  <c:v>12.482905982905983</c:v>
                </c:pt>
                <c:pt idx="241">
                  <c:v>12.482905982905983</c:v>
                </c:pt>
                <c:pt idx="242">
                  <c:v>12.482905982905983</c:v>
                </c:pt>
                <c:pt idx="243">
                  <c:v>12.482905982905983</c:v>
                </c:pt>
                <c:pt idx="244">
                  <c:v>12.482905982905983</c:v>
                </c:pt>
                <c:pt idx="245">
                  <c:v>12.482905982905983</c:v>
                </c:pt>
                <c:pt idx="246">
                  <c:v>12.482905982905983</c:v>
                </c:pt>
                <c:pt idx="247">
                  <c:v>12.482905982905983</c:v>
                </c:pt>
                <c:pt idx="248">
                  <c:v>12.482905982905983</c:v>
                </c:pt>
                <c:pt idx="249">
                  <c:v>12.482905982905983</c:v>
                </c:pt>
                <c:pt idx="250">
                  <c:v>11.342857142857143</c:v>
                </c:pt>
                <c:pt idx="251">
                  <c:v>9.4666666666666632</c:v>
                </c:pt>
                <c:pt idx="252">
                  <c:v>12.482905982905983</c:v>
                </c:pt>
                <c:pt idx="253">
                  <c:v>12.482905982905983</c:v>
                </c:pt>
                <c:pt idx="254">
                  <c:v>9.4666666666666632</c:v>
                </c:pt>
                <c:pt idx="255">
                  <c:v>12.482905982905983</c:v>
                </c:pt>
                <c:pt idx="256">
                  <c:v>12.482905982905983</c:v>
                </c:pt>
                <c:pt idx="257">
                  <c:v>11.342857142857143</c:v>
                </c:pt>
                <c:pt idx="258">
                  <c:v>12.482905982905983</c:v>
                </c:pt>
                <c:pt idx="259">
                  <c:v>12.482905982905983</c:v>
                </c:pt>
                <c:pt idx="260">
                  <c:v>12.482905982905983</c:v>
                </c:pt>
                <c:pt idx="261">
                  <c:v>12.482905982905983</c:v>
                </c:pt>
                <c:pt idx="262">
                  <c:v>9.4666666666666632</c:v>
                </c:pt>
                <c:pt idx="263">
                  <c:v>12.482905982905983</c:v>
                </c:pt>
                <c:pt idx="264">
                  <c:v>11.342857142857143</c:v>
                </c:pt>
                <c:pt idx="265">
                  <c:v>12.482905982905983</c:v>
                </c:pt>
                <c:pt idx="266">
                  <c:v>12.482905982905983</c:v>
                </c:pt>
                <c:pt idx="267">
                  <c:v>12.482905982905983</c:v>
                </c:pt>
                <c:pt idx="268">
                  <c:v>12.482905982905983</c:v>
                </c:pt>
                <c:pt idx="269">
                  <c:v>9.4666666666666632</c:v>
                </c:pt>
                <c:pt idx="270">
                  <c:v>11.342857142857143</c:v>
                </c:pt>
                <c:pt idx="271">
                  <c:v>12.482905982905983</c:v>
                </c:pt>
                <c:pt idx="272">
                  <c:v>12.482905982905983</c:v>
                </c:pt>
                <c:pt idx="273">
                  <c:v>12.482905982905983</c:v>
                </c:pt>
                <c:pt idx="274">
                  <c:v>11.342857142857143</c:v>
                </c:pt>
                <c:pt idx="275">
                  <c:v>12.482905982905983</c:v>
                </c:pt>
                <c:pt idx="276">
                  <c:v>12.482905982905983</c:v>
                </c:pt>
                <c:pt idx="277">
                  <c:v>9.4666666666666632</c:v>
                </c:pt>
                <c:pt idx="278">
                  <c:v>9.4666666666666632</c:v>
                </c:pt>
                <c:pt idx="279">
                  <c:v>12.482905982905983</c:v>
                </c:pt>
                <c:pt idx="280">
                  <c:v>12.482905982905983</c:v>
                </c:pt>
                <c:pt idx="281">
                  <c:v>12.482905982905983</c:v>
                </c:pt>
                <c:pt idx="282">
                  <c:v>12.482905982905983</c:v>
                </c:pt>
                <c:pt idx="283">
                  <c:v>12.482905982905983</c:v>
                </c:pt>
                <c:pt idx="284">
                  <c:v>12.482905982905983</c:v>
                </c:pt>
                <c:pt idx="285">
                  <c:v>12.482905982905983</c:v>
                </c:pt>
                <c:pt idx="286">
                  <c:v>9.4666666666666632</c:v>
                </c:pt>
                <c:pt idx="287">
                  <c:v>12.482905982905983</c:v>
                </c:pt>
                <c:pt idx="288">
                  <c:v>12.482905982905983</c:v>
                </c:pt>
                <c:pt idx="289">
                  <c:v>12.482905982905983</c:v>
                </c:pt>
                <c:pt idx="290">
                  <c:v>11.342857142857143</c:v>
                </c:pt>
                <c:pt idx="291">
                  <c:v>12.482905982905983</c:v>
                </c:pt>
                <c:pt idx="292">
                  <c:v>11.342857142857143</c:v>
                </c:pt>
                <c:pt idx="293">
                  <c:v>12.482905982905983</c:v>
                </c:pt>
                <c:pt idx="294">
                  <c:v>12.482905982905983</c:v>
                </c:pt>
                <c:pt idx="295">
                  <c:v>12.482905982905983</c:v>
                </c:pt>
                <c:pt idx="296">
                  <c:v>12.482905982905983</c:v>
                </c:pt>
                <c:pt idx="297">
                  <c:v>12.482905982905983</c:v>
                </c:pt>
                <c:pt idx="298">
                  <c:v>12.482905982905983</c:v>
                </c:pt>
              </c:numCache>
            </c:numRef>
          </c:xVal>
          <c:yVal>
            <c:numRef>
              <c:f>'Residual Output'!$C$26:$C$324</c:f>
              <c:numCache>
                <c:formatCode>General</c:formatCode>
                <c:ptCount val="299"/>
                <c:pt idx="0">
                  <c:v>-1.3428571428571434</c:v>
                </c:pt>
                <c:pt idx="1">
                  <c:v>-12.482905982905983</c:v>
                </c:pt>
                <c:pt idx="2">
                  <c:v>0.51709401709401703</c:v>
                </c:pt>
                <c:pt idx="3">
                  <c:v>-1.482905982905983</c:v>
                </c:pt>
                <c:pt idx="4">
                  <c:v>-2.482905982905983</c:v>
                </c:pt>
                <c:pt idx="5">
                  <c:v>2.517094017094017</c:v>
                </c:pt>
                <c:pt idx="6">
                  <c:v>2.517094017094017</c:v>
                </c:pt>
                <c:pt idx="7">
                  <c:v>-0.48290598290598297</c:v>
                </c:pt>
                <c:pt idx="8">
                  <c:v>1.517094017094017</c:v>
                </c:pt>
                <c:pt idx="9">
                  <c:v>-0.48290598290598297</c:v>
                </c:pt>
                <c:pt idx="10">
                  <c:v>4.517094017094017</c:v>
                </c:pt>
                <c:pt idx="11">
                  <c:v>-12.482905982905983</c:v>
                </c:pt>
                <c:pt idx="12">
                  <c:v>0.53333333333333677</c:v>
                </c:pt>
                <c:pt idx="13">
                  <c:v>1.517094017094017</c:v>
                </c:pt>
                <c:pt idx="14">
                  <c:v>-5.482905982905983</c:v>
                </c:pt>
                <c:pt idx="15">
                  <c:v>2.517094017094017</c:v>
                </c:pt>
                <c:pt idx="16">
                  <c:v>-1.482905982905983</c:v>
                </c:pt>
                <c:pt idx="17">
                  <c:v>0.51709401709401703</c:v>
                </c:pt>
                <c:pt idx="18">
                  <c:v>-0.48290598290598297</c:v>
                </c:pt>
                <c:pt idx="19">
                  <c:v>-1.482905982905983</c:v>
                </c:pt>
                <c:pt idx="20">
                  <c:v>3.517094017094017</c:v>
                </c:pt>
                <c:pt idx="21">
                  <c:v>-0.48290598290598297</c:v>
                </c:pt>
                <c:pt idx="22">
                  <c:v>0.51709401709401703</c:v>
                </c:pt>
                <c:pt idx="23">
                  <c:v>-1.482905982905983</c:v>
                </c:pt>
                <c:pt idx="24">
                  <c:v>2.517094017094017</c:v>
                </c:pt>
                <c:pt idx="25">
                  <c:v>-4.482905982905983</c:v>
                </c:pt>
                <c:pt idx="26">
                  <c:v>-3.482905982905983</c:v>
                </c:pt>
                <c:pt idx="27">
                  <c:v>-1.3428571428571434</c:v>
                </c:pt>
                <c:pt idx="28">
                  <c:v>-2.3428571428571434</c:v>
                </c:pt>
                <c:pt idx="29">
                  <c:v>-0.48290598290598297</c:v>
                </c:pt>
                <c:pt idx="30">
                  <c:v>1.517094017094017</c:v>
                </c:pt>
                <c:pt idx="31">
                  <c:v>-0.34285714285714342</c:v>
                </c:pt>
                <c:pt idx="32">
                  <c:v>-0.46666666666666323</c:v>
                </c:pt>
                <c:pt idx="33">
                  <c:v>6.6571428571428566</c:v>
                </c:pt>
                <c:pt idx="34">
                  <c:v>-0.34285714285714342</c:v>
                </c:pt>
                <c:pt idx="35">
                  <c:v>3.517094017094017</c:v>
                </c:pt>
                <c:pt idx="36">
                  <c:v>-0.48290598290598297</c:v>
                </c:pt>
                <c:pt idx="37">
                  <c:v>0.51709401709401703</c:v>
                </c:pt>
                <c:pt idx="38">
                  <c:v>-2.482905982905983</c:v>
                </c:pt>
                <c:pt idx="39">
                  <c:v>-2.3428571428571434</c:v>
                </c:pt>
                <c:pt idx="40">
                  <c:v>4.5333333333333368</c:v>
                </c:pt>
                <c:pt idx="41">
                  <c:v>-0.46666666666666323</c:v>
                </c:pt>
                <c:pt idx="42">
                  <c:v>2.517094017094017</c:v>
                </c:pt>
                <c:pt idx="43">
                  <c:v>3.517094017094017</c:v>
                </c:pt>
                <c:pt idx="44">
                  <c:v>0.53333333333333677</c:v>
                </c:pt>
                <c:pt idx="45">
                  <c:v>-1.482905982905983</c:v>
                </c:pt>
                <c:pt idx="46">
                  <c:v>-1.3428571428571434</c:v>
                </c:pt>
                <c:pt idx="47">
                  <c:v>3.517094017094017</c:v>
                </c:pt>
                <c:pt idx="48">
                  <c:v>0.51709401709401703</c:v>
                </c:pt>
                <c:pt idx="49">
                  <c:v>-0.34285714285714342</c:v>
                </c:pt>
                <c:pt idx="50">
                  <c:v>4.517094017094017</c:v>
                </c:pt>
                <c:pt idx="51">
                  <c:v>4.517094017094017</c:v>
                </c:pt>
                <c:pt idx="52">
                  <c:v>-0.48290598290598297</c:v>
                </c:pt>
                <c:pt idx="53">
                  <c:v>2.517094017094017</c:v>
                </c:pt>
                <c:pt idx="54">
                  <c:v>1.517094017094017</c:v>
                </c:pt>
                <c:pt idx="55">
                  <c:v>-2.482905982905983</c:v>
                </c:pt>
                <c:pt idx="56">
                  <c:v>-2.482905982905983</c:v>
                </c:pt>
                <c:pt idx="57">
                  <c:v>0.51709401709401703</c:v>
                </c:pt>
                <c:pt idx="58">
                  <c:v>-1.3428571428571434</c:v>
                </c:pt>
                <c:pt idx="59">
                  <c:v>1.6571428571428566</c:v>
                </c:pt>
                <c:pt idx="60">
                  <c:v>-1.482905982905983</c:v>
                </c:pt>
                <c:pt idx="61">
                  <c:v>-1.482905982905983</c:v>
                </c:pt>
                <c:pt idx="62">
                  <c:v>-0.48290598290598297</c:v>
                </c:pt>
                <c:pt idx="63">
                  <c:v>-2.482905982905983</c:v>
                </c:pt>
                <c:pt idx="64">
                  <c:v>3.517094017094017</c:v>
                </c:pt>
                <c:pt idx="65">
                  <c:v>-2.482905982905983</c:v>
                </c:pt>
                <c:pt idx="66">
                  <c:v>-2.482905982905983</c:v>
                </c:pt>
                <c:pt idx="67">
                  <c:v>-1.482905982905983</c:v>
                </c:pt>
                <c:pt idx="68">
                  <c:v>3.517094017094017</c:v>
                </c:pt>
                <c:pt idx="69">
                  <c:v>-12.482905982905983</c:v>
                </c:pt>
                <c:pt idx="70">
                  <c:v>-2.482905982905983</c:v>
                </c:pt>
                <c:pt idx="71">
                  <c:v>2.517094017094017</c:v>
                </c:pt>
                <c:pt idx="72">
                  <c:v>3.517094017094017</c:v>
                </c:pt>
                <c:pt idx="73">
                  <c:v>-0.48290598290598297</c:v>
                </c:pt>
                <c:pt idx="74">
                  <c:v>-0.34285714285714342</c:v>
                </c:pt>
                <c:pt idx="75">
                  <c:v>-0.48290598290598297</c:v>
                </c:pt>
                <c:pt idx="76">
                  <c:v>0.65714285714285658</c:v>
                </c:pt>
                <c:pt idx="77">
                  <c:v>-0.48290598290598297</c:v>
                </c:pt>
                <c:pt idx="78">
                  <c:v>2.517094017094017</c:v>
                </c:pt>
                <c:pt idx="79">
                  <c:v>-0.48290598290598297</c:v>
                </c:pt>
                <c:pt idx="80">
                  <c:v>-3.3428571428571434</c:v>
                </c:pt>
                <c:pt idx="81">
                  <c:v>-1.482905982905983</c:v>
                </c:pt>
                <c:pt idx="82">
                  <c:v>-1.482905982905983</c:v>
                </c:pt>
                <c:pt idx="83">
                  <c:v>3.517094017094017</c:v>
                </c:pt>
                <c:pt idx="84">
                  <c:v>-0.48290598290598297</c:v>
                </c:pt>
                <c:pt idx="85">
                  <c:v>0.51709401709401703</c:v>
                </c:pt>
                <c:pt idx="86">
                  <c:v>0.51709401709401703</c:v>
                </c:pt>
                <c:pt idx="87">
                  <c:v>-0.46666666666666323</c:v>
                </c:pt>
                <c:pt idx="88">
                  <c:v>-4.482905982905983</c:v>
                </c:pt>
                <c:pt idx="89">
                  <c:v>-2.482905982905983</c:v>
                </c:pt>
                <c:pt idx="90">
                  <c:v>0.51709401709401703</c:v>
                </c:pt>
                <c:pt idx="91">
                  <c:v>-2.482905982905983</c:v>
                </c:pt>
                <c:pt idx="92">
                  <c:v>0.51709401709401703</c:v>
                </c:pt>
                <c:pt idx="93">
                  <c:v>3.517094017094017</c:v>
                </c:pt>
                <c:pt idx="94">
                  <c:v>0.51709401709401703</c:v>
                </c:pt>
                <c:pt idx="95">
                  <c:v>4.517094017094017</c:v>
                </c:pt>
                <c:pt idx="96">
                  <c:v>-2.482905982905983</c:v>
                </c:pt>
                <c:pt idx="97">
                  <c:v>0.51709401709401703</c:v>
                </c:pt>
                <c:pt idx="98">
                  <c:v>0.53333333333333677</c:v>
                </c:pt>
                <c:pt idx="99">
                  <c:v>0.53333333333333677</c:v>
                </c:pt>
                <c:pt idx="100">
                  <c:v>4.517094017094017</c:v>
                </c:pt>
                <c:pt idx="101">
                  <c:v>4.517094017094017</c:v>
                </c:pt>
                <c:pt idx="102">
                  <c:v>0.65714285714285658</c:v>
                </c:pt>
                <c:pt idx="103">
                  <c:v>-0.48290598290598297</c:v>
                </c:pt>
                <c:pt idx="104">
                  <c:v>2.517094017094017</c:v>
                </c:pt>
                <c:pt idx="105">
                  <c:v>-1.482905982905983</c:v>
                </c:pt>
                <c:pt idx="106">
                  <c:v>0.65714285714285658</c:v>
                </c:pt>
                <c:pt idx="107">
                  <c:v>1.517094017094017</c:v>
                </c:pt>
                <c:pt idx="108">
                  <c:v>-3.482905982905983</c:v>
                </c:pt>
                <c:pt idx="109">
                  <c:v>-0.48290598290598297</c:v>
                </c:pt>
                <c:pt idx="110">
                  <c:v>-0.48290598290598297</c:v>
                </c:pt>
                <c:pt idx="111">
                  <c:v>4.517094017094017</c:v>
                </c:pt>
                <c:pt idx="112">
                  <c:v>-4.482905982905983</c:v>
                </c:pt>
                <c:pt idx="113">
                  <c:v>-0.48290598290598297</c:v>
                </c:pt>
                <c:pt idx="114">
                  <c:v>-0.34285714285714342</c:v>
                </c:pt>
                <c:pt idx="115">
                  <c:v>-2.482905982905983</c:v>
                </c:pt>
                <c:pt idx="116">
                  <c:v>5.517094017094017</c:v>
                </c:pt>
                <c:pt idx="117">
                  <c:v>1.517094017094017</c:v>
                </c:pt>
                <c:pt idx="118">
                  <c:v>-0.48290598290598297</c:v>
                </c:pt>
                <c:pt idx="119">
                  <c:v>-1.482905982905983</c:v>
                </c:pt>
                <c:pt idx="120">
                  <c:v>4.517094017094017</c:v>
                </c:pt>
                <c:pt idx="121">
                  <c:v>-2.4666666666666632</c:v>
                </c:pt>
                <c:pt idx="122">
                  <c:v>-0.46666666666666323</c:v>
                </c:pt>
                <c:pt idx="123">
                  <c:v>2.6571428571428566</c:v>
                </c:pt>
                <c:pt idx="124">
                  <c:v>6.517094017094017</c:v>
                </c:pt>
                <c:pt idx="125">
                  <c:v>3.517094017094017</c:v>
                </c:pt>
                <c:pt idx="126">
                  <c:v>-2.482905982905983</c:v>
                </c:pt>
                <c:pt idx="127">
                  <c:v>-3.482905982905983</c:v>
                </c:pt>
                <c:pt idx="128">
                  <c:v>-4.482905982905983</c:v>
                </c:pt>
                <c:pt idx="129">
                  <c:v>0.51709401709401703</c:v>
                </c:pt>
                <c:pt idx="130">
                  <c:v>-0.48290598290598297</c:v>
                </c:pt>
                <c:pt idx="131">
                  <c:v>-2.482905982905983</c:v>
                </c:pt>
                <c:pt idx="132">
                  <c:v>2.517094017094017</c:v>
                </c:pt>
                <c:pt idx="133">
                  <c:v>1.517094017094017</c:v>
                </c:pt>
                <c:pt idx="134">
                  <c:v>-3.482905982905983</c:v>
                </c:pt>
                <c:pt idx="135">
                  <c:v>-1.482905982905983</c:v>
                </c:pt>
                <c:pt idx="136">
                  <c:v>-0.48290598290598297</c:v>
                </c:pt>
                <c:pt idx="137">
                  <c:v>5.517094017094017</c:v>
                </c:pt>
                <c:pt idx="138">
                  <c:v>5.517094017094017</c:v>
                </c:pt>
                <c:pt idx="139">
                  <c:v>2.517094017094017</c:v>
                </c:pt>
                <c:pt idx="140">
                  <c:v>4.517094017094017</c:v>
                </c:pt>
                <c:pt idx="141">
                  <c:v>-0.34285714285714342</c:v>
                </c:pt>
                <c:pt idx="142">
                  <c:v>1.517094017094017</c:v>
                </c:pt>
                <c:pt idx="143">
                  <c:v>-0.48290598290598297</c:v>
                </c:pt>
                <c:pt idx="144">
                  <c:v>1.517094017094017</c:v>
                </c:pt>
                <c:pt idx="145">
                  <c:v>-3.482905982905983</c:v>
                </c:pt>
                <c:pt idx="146">
                  <c:v>-3.4666666666666632</c:v>
                </c:pt>
                <c:pt idx="147">
                  <c:v>-1.482905982905983</c:v>
                </c:pt>
                <c:pt idx="148">
                  <c:v>0.53333333333333677</c:v>
                </c:pt>
                <c:pt idx="149">
                  <c:v>-4.482905982905983</c:v>
                </c:pt>
                <c:pt idx="150">
                  <c:v>0.65714285714285658</c:v>
                </c:pt>
                <c:pt idx="151">
                  <c:v>-2.482905982905983</c:v>
                </c:pt>
                <c:pt idx="152">
                  <c:v>2.6571428571428566</c:v>
                </c:pt>
                <c:pt idx="153">
                  <c:v>0.65714285714285658</c:v>
                </c:pt>
                <c:pt idx="154">
                  <c:v>-2.482905982905983</c:v>
                </c:pt>
                <c:pt idx="155">
                  <c:v>-4.482905982905983</c:v>
                </c:pt>
                <c:pt idx="156">
                  <c:v>-2.482905982905983</c:v>
                </c:pt>
                <c:pt idx="157">
                  <c:v>-2.482905982905983</c:v>
                </c:pt>
                <c:pt idx="158">
                  <c:v>2.517094017094017</c:v>
                </c:pt>
                <c:pt idx="159">
                  <c:v>0.53333333333333677</c:v>
                </c:pt>
                <c:pt idx="160">
                  <c:v>2.517094017094017</c:v>
                </c:pt>
                <c:pt idx="161">
                  <c:v>-2.482905982905983</c:v>
                </c:pt>
                <c:pt idx="162">
                  <c:v>0.51709401709401703</c:v>
                </c:pt>
                <c:pt idx="163">
                  <c:v>-0.48290598290598297</c:v>
                </c:pt>
                <c:pt idx="164">
                  <c:v>-0.48290598290598297</c:v>
                </c:pt>
                <c:pt idx="165">
                  <c:v>-4.482905982905983</c:v>
                </c:pt>
                <c:pt idx="166">
                  <c:v>-1.482905982905983</c:v>
                </c:pt>
                <c:pt idx="167">
                  <c:v>-2.482905982905983</c:v>
                </c:pt>
                <c:pt idx="168">
                  <c:v>-0.46666666666666323</c:v>
                </c:pt>
                <c:pt idx="169">
                  <c:v>-1.482905982905983</c:v>
                </c:pt>
                <c:pt idx="170">
                  <c:v>1.5333333333333368</c:v>
                </c:pt>
                <c:pt idx="171">
                  <c:v>0.51709401709401703</c:v>
                </c:pt>
                <c:pt idx="172">
                  <c:v>-0.34285714285714342</c:v>
                </c:pt>
                <c:pt idx="173">
                  <c:v>2.6571428571428566</c:v>
                </c:pt>
                <c:pt idx="174">
                  <c:v>1.5333333333333368</c:v>
                </c:pt>
                <c:pt idx="175">
                  <c:v>2.517094017094017</c:v>
                </c:pt>
                <c:pt idx="176">
                  <c:v>-0.34285714285714342</c:v>
                </c:pt>
                <c:pt idx="177">
                  <c:v>0.51709401709401703</c:v>
                </c:pt>
                <c:pt idx="178">
                  <c:v>-1.482905982905983</c:v>
                </c:pt>
                <c:pt idx="179">
                  <c:v>-2.482905982905983</c:v>
                </c:pt>
                <c:pt idx="180">
                  <c:v>5.517094017094017</c:v>
                </c:pt>
                <c:pt idx="181">
                  <c:v>0.51709401709401703</c:v>
                </c:pt>
                <c:pt idx="182">
                  <c:v>-0.34285714285714342</c:v>
                </c:pt>
                <c:pt idx="183">
                  <c:v>0.51709401709401703</c:v>
                </c:pt>
                <c:pt idx="184">
                  <c:v>2.517094017094017</c:v>
                </c:pt>
                <c:pt idx="185">
                  <c:v>0.51709401709401703</c:v>
                </c:pt>
                <c:pt idx="186">
                  <c:v>-5.482905982905983</c:v>
                </c:pt>
                <c:pt idx="187">
                  <c:v>2.517094017094017</c:v>
                </c:pt>
                <c:pt idx="188">
                  <c:v>1.517094017094017</c:v>
                </c:pt>
                <c:pt idx="189">
                  <c:v>1.517094017094017</c:v>
                </c:pt>
                <c:pt idx="190">
                  <c:v>-0.48290598290598297</c:v>
                </c:pt>
                <c:pt idx="191">
                  <c:v>3.517094017094017</c:v>
                </c:pt>
                <c:pt idx="192">
                  <c:v>5.517094017094017</c:v>
                </c:pt>
                <c:pt idx="193">
                  <c:v>-1.482905982905983</c:v>
                </c:pt>
                <c:pt idx="194">
                  <c:v>3.517094017094017</c:v>
                </c:pt>
                <c:pt idx="195">
                  <c:v>-0.48290598290598297</c:v>
                </c:pt>
                <c:pt idx="196">
                  <c:v>0.51709401709401703</c:v>
                </c:pt>
                <c:pt idx="197">
                  <c:v>2.517094017094017</c:v>
                </c:pt>
                <c:pt idx="198">
                  <c:v>-0.48290598290598297</c:v>
                </c:pt>
                <c:pt idx="199">
                  <c:v>-1.482905982905983</c:v>
                </c:pt>
                <c:pt idx="200">
                  <c:v>2.517094017094017</c:v>
                </c:pt>
                <c:pt idx="201">
                  <c:v>1.5333333333333368</c:v>
                </c:pt>
                <c:pt idx="202">
                  <c:v>-2.482905982905983</c:v>
                </c:pt>
                <c:pt idx="203">
                  <c:v>1.517094017094017</c:v>
                </c:pt>
                <c:pt idx="204">
                  <c:v>-4.482905982905983</c:v>
                </c:pt>
                <c:pt idx="205">
                  <c:v>5.517094017094017</c:v>
                </c:pt>
                <c:pt idx="206">
                  <c:v>2.517094017094017</c:v>
                </c:pt>
                <c:pt idx="207">
                  <c:v>-0.46666666666666323</c:v>
                </c:pt>
                <c:pt idx="208">
                  <c:v>1.6571428571428566</c:v>
                </c:pt>
                <c:pt idx="209">
                  <c:v>1.517094017094017</c:v>
                </c:pt>
                <c:pt idx="210">
                  <c:v>-0.48290598290598297</c:v>
                </c:pt>
                <c:pt idx="211">
                  <c:v>-1.482905982905983</c:v>
                </c:pt>
                <c:pt idx="212">
                  <c:v>-2.482905982905983</c:v>
                </c:pt>
                <c:pt idx="213">
                  <c:v>2.517094017094017</c:v>
                </c:pt>
                <c:pt idx="214">
                  <c:v>0.51709401709401703</c:v>
                </c:pt>
                <c:pt idx="215">
                  <c:v>0.53333333333333677</c:v>
                </c:pt>
                <c:pt idx="216">
                  <c:v>0.51709401709401703</c:v>
                </c:pt>
                <c:pt idx="217">
                  <c:v>3.517094017094017</c:v>
                </c:pt>
                <c:pt idx="218">
                  <c:v>-1.482905982905983</c:v>
                </c:pt>
                <c:pt idx="219">
                  <c:v>-12.482905982905983</c:v>
                </c:pt>
                <c:pt idx="220">
                  <c:v>-2.482905982905983</c:v>
                </c:pt>
                <c:pt idx="221">
                  <c:v>-1.4666666666666632</c:v>
                </c:pt>
                <c:pt idx="222">
                  <c:v>4.517094017094017</c:v>
                </c:pt>
                <c:pt idx="223">
                  <c:v>3.517094017094017</c:v>
                </c:pt>
                <c:pt idx="224">
                  <c:v>-1.482905982905983</c:v>
                </c:pt>
                <c:pt idx="225">
                  <c:v>2.517094017094017</c:v>
                </c:pt>
                <c:pt idx="226">
                  <c:v>-1.4666666666666632</c:v>
                </c:pt>
                <c:pt idx="227">
                  <c:v>-3.482905982905983</c:v>
                </c:pt>
                <c:pt idx="228">
                  <c:v>0.51709401709401703</c:v>
                </c:pt>
                <c:pt idx="229">
                  <c:v>4.517094017094017</c:v>
                </c:pt>
                <c:pt idx="230">
                  <c:v>3.5333333333333368</c:v>
                </c:pt>
                <c:pt idx="231">
                  <c:v>-1.482905982905983</c:v>
                </c:pt>
                <c:pt idx="232">
                  <c:v>-0.48290598290598297</c:v>
                </c:pt>
                <c:pt idx="233">
                  <c:v>4.517094017094017</c:v>
                </c:pt>
                <c:pt idx="234">
                  <c:v>-3.482905982905983</c:v>
                </c:pt>
                <c:pt idx="235">
                  <c:v>2.517094017094017</c:v>
                </c:pt>
                <c:pt idx="236">
                  <c:v>-1.4666666666666632</c:v>
                </c:pt>
                <c:pt idx="237">
                  <c:v>-2.482905982905983</c:v>
                </c:pt>
                <c:pt idx="238">
                  <c:v>2.517094017094017</c:v>
                </c:pt>
                <c:pt idx="239">
                  <c:v>-1.3428571428571434</c:v>
                </c:pt>
                <c:pt idx="240">
                  <c:v>-1.482905982905983</c:v>
                </c:pt>
                <c:pt idx="241">
                  <c:v>4.517094017094017</c:v>
                </c:pt>
                <c:pt idx="242">
                  <c:v>-2.482905982905983</c:v>
                </c:pt>
                <c:pt idx="243">
                  <c:v>-0.48290598290598297</c:v>
                </c:pt>
                <c:pt idx="244">
                  <c:v>-0.48290598290598297</c:v>
                </c:pt>
                <c:pt idx="245">
                  <c:v>1.517094017094017</c:v>
                </c:pt>
                <c:pt idx="246">
                  <c:v>-1.482905982905983</c:v>
                </c:pt>
                <c:pt idx="247">
                  <c:v>2.517094017094017</c:v>
                </c:pt>
                <c:pt idx="248">
                  <c:v>2.517094017094017</c:v>
                </c:pt>
                <c:pt idx="249">
                  <c:v>-4.482905982905983</c:v>
                </c:pt>
                <c:pt idx="250">
                  <c:v>-0.34285714285714342</c:v>
                </c:pt>
                <c:pt idx="251">
                  <c:v>-2.4666666666666632</c:v>
                </c:pt>
                <c:pt idx="252">
                  <c:v>1.517094017094017</c:v>
                </c:pt>
                <c:pt idx="253">
                  <c:v>-0.48290598290598297</c:v>
                </c:pt>
                <c:pt idx="254">
                  <c:v>-2.4666666666666632</c:v>
                </c:pt>
                <c:pt idx="255">
                  <c:v>0.51709401709401703</c:v>
                </c:pt>
                <c:pt idx="256">
                  <c:v>3.517094017094017</c:v>
                </c:pt>
                <c:pt idx="257">
                  <c:v>-3.3428571428571434</c:v>
                </c:pt>
                <c:pt idx="258">
                  <c:v>2.517094017094017</c:v>
                </c:pt>
                <c:pt idx="259">
                  <c:v>0.51709401709401703</c:v>
                </c:pt>
                <c:pt idx="260">
                  <c:v>1.517094017094017</c:v>
                </c:pt>
                <c:pt idx="261">
                  <c:v>2.517094017094017</c:v>
                </c:pt>
                <c:pt idx="262">
                  <c:v>1.5333333333333368</c:v>
                </c:pt>
                <c:pt idx="263">
                  <c:v>0.51709401709401703</c:v>
                </c:pt>
                <c:pt idx="264">
                  <c:v>-0.34285714285714342</c:v>
                </c:pt>
                <c:pt idx="265">
                  <c:v>-0.48290598290598297</c:v>
                </c:pt>
                <c:pt idx="266">
                  <c:v>3.517094017094017</c:v>
                </c:pt>
                <c:pt idx="267">
                  <c:v>0.51709401709401703</c:v>
                </c:pt>
                <c:pt idx="268">
                  <c:v>-3.482905982905983</c:v>
                </c:pt>
                <c:pt idx="269">
                  <c:v>-1.4666666666666632</c:v>
                </c:pt>
                <c:pt idx="270">
                  <c:v>1.6571428571428566</c:v>
                </c:pt>
                <c:pt idx="271">
                  <c:v>-1.482905982905983</c:v>
                </c:pt>
                <c:pt idx="272">
                  <c:v>-4.482905982905983</c:v>
                </c:pt>
                <c:pt idx="273">
                  <c:v>-1.482905982905983</c:v>
                </c:pt>
                <c:pt idx="274">
                  <c:v>-1.3428571428571434</c:v>
                </c:pt>
                <c:pt idx="275">
                  <c:v>1.517094017094017</c:v>
                </c:pt>
                <c:pt idx="276">
                  <c:v>3.517094017094017</c:v>
                </c:pt>
                <c:pt idx="277">
                  <c:v>-0.46666666666666323</c:v>
                </c:pt>
                <c:pt idx="278">
                  <c:v>0.53333333333333677</c:v>
                </c:pt>
                <c:pt idx="279">
                  <c:v>1.517094017094017</c:v>
                </c:pt>
                <c:pt idx="280">
                  <c:v>3.517094017094017</c:v>
                </c:pt>
                <c:pt idx="281">
                  <c:v>3.517094017094017</c:v>
                </c:pt>
                <c:pt idx="282">
                  <c:v>-4.482905982905983</c:v>
                </c:pt>
                <c:pt idx="283">
                  <c:v>-1.482905982905983</c:v>
                </c:pt>
                <c:pt idx="284">
                  <c:v>1.517094017094017</c:v>
                </c:pt>
                <c:pt idx="285">
                  <c:v>-2.482905982905983</c:v>
                </c:pt>
                <c:pt idx="286">
                  <c:v>1.5333333333333368</c:v>
                </c:pt>
                <c:pt idx="287">
                  <c:v>-1.482905982905983</c:v>
                </c:pt>
                <c:pt idx="288">
                  <c:v>1.517094017094017</c:v>
                </c:pt>
                <c:pt idx="289">
                  <c:v>1.517094017094017</c:v>
                </c:pt>
                <c:pt idx="290">
                  <c:v>1.6571428571428566</c:v>
                </c:pt>
                <c:pt idx="291">
                  <c:v>-0.48290598290598297</c:v>
                </c:pt>
                <c:pt idx="292">
                  <c:v>-1.3428571428571434</c:v>
                </c:pt>
                <c:pt idx="293">
                  <c:v>1.517094017094017</c:v>
                </c:pt>
                <c:pt idx="294">
                  <c:v>-0.48290598290598297</c:v>
                </c:pt>
                <c:pt idx="295">
                  <c:v>-1.482905982905983</c:v>
                </c:pt>
                <c:pt idx="296">
                  <c:v>-0.48290598290598297</c:v>
                </c:pt>
                <c:pt idx="297">
                  <c:v>-1.482905982905983</c:v>
                </c:pt>
                <c:pt idx="298">
                  <c:v>-12.482905982905983</c:v>
                </c:pt>
              </c:numCache>
            </c:numRef>
          </c:yVal>
          <c:smooth val="0"/>
          <c:extLst>
            <c:ext xmlns:c16="http://schemas.microsoft.com/office/drawing/2014/chart" uri="{C3380CC4-5D6E-409C-BE32-E72D297353CC}">
              <c16:uniqueId val="{00000000-BDE8-6F47-B36D-CED8A8E890DB}"/>
            </c:ext>
          </c:extLst>
        </c:ser>
        <c:dLbls>
          <c:showLegendKey val="0"/>
          <c:showVal val="0"/>
          <c:showCatName val="0"/>
          <c:showSerName val="0"/>
          <c:showPercent val="0"/>
          <c:showBubbleSize val="0"/>
        </c:dLbls>
        <c:axId val="1615149055"/>
        <c:axId val="1615150399"/>
      </c:scatterChart>
      <c:valAx>
        <c:axId val="1615149055"/>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Predicted</a:t>
                </a:r>
                <a:r>
                  <a:rPr lang="en-US" b="1" baseline="0"/>
                  <a:t> Grade </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150399"/>
        <c:crosses val="autoZero"/>
        <c:crossBetween val="midCat"/>
      </c:valAx>
      <c:valAx>
        <c:axId val="1615150399"/>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Residuals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1490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515922116878248"/>
          <c:y val="4.7577854671280277E-2"/>
          <c:w val="0.8207364704411948"/>
          <c:h val="0.80536332179930781"/>
        </c:manualLayout>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'Residual Output'!$B$26:$B$324</c:f>
              <c:numCache>
                <c:formatCode>General</c:formatCode>
                <c:ptCount val="299"/>
                <c:pt idx="0">
                  <c:v>11.342857142857143</c:v>
                </c:pt>
                <c:pt idx="1">
                  <c:v>12.482905982905983</c:v>
                </c:pt>
                <c:pt idx="2">
                  <c:v>12.482905982905983</c:v>
                </c:pt>
                <c:pt idx="3">
                  <c:v>12.482905982905983</c:v>
                </c:pt>
                <c:pt idx="4">
                  <c:v>12.482905982905983</c:v>
                </c:pt>
                <c:pt idx="5">
                  <c:v>12.482905982905983</c:v>
                </c:pt>
                <c:pt idx="6">
                  <c:v>12.482905982905983</c:v>
                </c:pt>
                <c:pt idx="7">
                  <c:v>12.482905982905983</c:v>
                </c:pt>
                <c:pt idx="8">
                  <c:v>12.482905982905983</c:v>
                </c:pt>
                <c:pt idx="9">
                  <c:v>12.482905982905983</c:v>
                </c:pt>
                <c:pt idx="10">
                  <c:v>12.482905982905983</c:v>
                </c:pt>
                <c:pt idx="11">
                  <c:v>12.482905982905983</c:v>
                </c:pt>
                <c:pt idx="12">
                  <c:v>9.4666666666666632</c:v>
                </c:pt>
                <c:pt idx="13">
                  <c:v>12.482905982905983</c:v>
                </c:pt>
                <c:pt idx="14">
                  <c:v>12.482905982905983</c:v>
                </c:pt>
                <c:pt idx="15">
                  <c:v>12.482905982905983</c:v>
                </c:pt>
                <c:pt idx="16">
                  <c:v>12.482905982905983</c:v>
                </c:pt>
                <c:pt idx="17">
                  <c:v>12.482905982905983</c:v>
                </c:pt>
                <c:pt idx="18">
                  <c:v>12.482905982905983</c:v>
                </c:pt>
                <c:pt idx="19">
                  <c:v>12.482905982905983</c:v>
                </c:pt>
                <c:pt idx="20">
                  <c:v>12.482905982905983</c:v>
                </c:pt>
                <c:pt idx="21">
                  <c:v>12.482905982905983</c:v>
                </c:pt>
                <c:pt idx="22">
                  <c:v>12.482905982905983</c:v>
                </c:pt>
                <c:pt idx="23">
                  <c:v>12.482905982905983</c:v>
                </c:pt>
                <c:pt idx="24">
                  <c:v>12.482905982905983</c:v>
                </c:pt>
                <c:pt idx="25">
                  <c:v>12.482905982905983</c:v>
                </c:pt>
                <c:pt idx="26">
                  <c:v>12.482905982905983</c:v>
                </c:pt>
                <c:pt idx="27">
                  <c:v>11.342857142857143</c:v>
                </c:pt>
                <c:pt idx="28">
                  <c:v>11.342857142857143</c:v>
                </c:pt>
                <c:pt idx="29">
                  <c:v>12.482905982905983</c:v>
                </c:pt>
                <c:pt idx="30">
                  <c:v>12.482905982905983</c:v>
                </c:pt>
                <c:pt idx="31">
                  <c:v>11.342857142857143</c:v>
                </c:pt>
                <c:pt idx="32">
                  <c:v>9.4666666666666632</c:v>
                </c:pt>
                <c:pt idx="33">
                  <c:v>11.342857142857143</c:v>
                </c:pt>
                <c:pt idx="34">
                  <c:v>11.342857142857143</c:v>
                </c:pt>
                <c:pt idx="35">
                  <c:v>12.482905982905983</c:v>
                </c:pt>
                <c:pt idx="36">
                  <c:v>12.482905982905983</c:v>
                </c:pt>
                <c:pt idx="37">
                  <c:v>12.482905982905983</c:v>
                </c:pt>
                <c:pt idx="38">
                  <c:v>12.482905982905983</c:v>
                </c:pt>
                <c:pt idx="39">
                  <c:v>11.342857142857143</c:v>
                </c:pt>
                <c:pt idx="40">
                  <c:v>9.4666666666666632</c:v>
                </c:pt>
                <c:pt idx="41">
                  <c:v>9.4666666666666632</c:v>
                </c:pt>
                <c:pt idx="42">
                  <c:v>12.482905982905983</c:v>
                </c:pt>
                <c:pt idx="43">
                  <c:v>12.482905982905983</c:v>
                </c:pt>
                <c:pt idx="44">
                  <c:v>9.4666666666666632</c:v>
                </c:pt>
                <c:pt idx="45">
                  <c:v>12.482905982905983</c:v>
                </c:pt>
                <c:pt idx="46">
                  <c:v>11.342857142857143</c:v>
                </c:pt>
                <c:pt idx="47">
                  <c:v>12.482905982905983</c:v>
                </c:pt>
                <c:pt idx="48">
                  <c:v>12.482905982905983</c:v>
                </c:pt>
                <c:pt idx="49">
                  <c:v>11.342857142857143</c:v>
                </c:pt>
                <c:pt idx="50">
                  <c:v>12.482905982905983</c:v>
                </c:pt>
                <c:pt idx="51">
                  <c:v>12.482905982905983</c:v>
                </c:pt>
                <c:pt idx="52">
                  <c:v>12.482905982905983</c:v>
                </c:pt>
                <c:pt idx="53">
                  <c:v>12.482905982905983</c:v>
                </c:pt>
                <c:pt idx="54">
                  <c:v>12.482905982905983</c:v>
                </c:pt>
                <c:pt idx="55">
                  <c:v>12.482905982905983</c:v>
                </c:pt>
                <c:pt idx="56">
                  <c:v>12.482905982905983</c:v>
                </c:pt>
                <c:pt idx="57">
                  <c:v>12.482905982905983</c:v>
                </c:pt>
                <c:pt idx="58">
                  <c:v>11.342857142857143</c:v>
                </c:pt>
                <c:pt idx="59">
                  <c:v>11.342857142857143</c:v>
                </c:pt>
                <c:pt idx="60">
                  <c:v>12.482905982905983</c:v>
                </c:pt>
                <c:pt idx="61">
                  <c:v>12.482905982905983</c:v>
                </c:pt>
                <c:pt idx="62">
                  <c:v>12.482905982905983</c:v>
                </c:pt>
                <c:pt idx="63">
                  <c:v>12.482905982905983</c:v>
                </c:pt>
                <c:pt idx="64">
                  <c:v>12.482905982905983</c:v>
                </c:pt>
                <c:pt idx="65">
                  <c:v>12.482905982905983</c:v>
                </c:pt>
                <c:pt idx="66">
                  <c:v>12.482905982905983</c:v>
                </c:pt>
                <c:pt idx="67">
                  <c:v>12.482905982905983</c:v>
                </c:pt>
                <c:pt idx="68">
                  <c:v>12.482905982905983</c:v>
                </c:pt>
                <c:pt idx="69">
                  <c:v>12.482905982905983</c:v>
                </c:pt>
                <c:pt idx="70">
                  <c:v>12.482905982905983</c:v>
                </c:pt>
                <c:pt idx="71">
                  <c:v>12.482905982905983</c:v>
                </c:pt>
                <c:pt idx="72">
                  <c:v>12.482905982905983</c:v>
                </c:pt>
                <c:pt idx="73">
                  <c:v>12.482905982905983</c:v>
                </c:pt>
                <c:pt idx="74">
                  <c:v>11.342857142857143</c:v>
                </c:pt>
                <c:pt idx="75">
                  <c:v>12.482905982905983</c:v>
                </c:pt>
                <c:pt idx="76">
                  <c:v>11.342857142857143</c:v>
                </c:pt>
                <c:pt idx="77">
                  <c:v>12.482905982905983</c:v>
                </c:pt>
                <c:pt idx="78">
                  <c:v>12.482905982905983</c:v>
                </c:pt>
                <c:pt idx="79">
                  <c:v>12.482905982905983</c:v>
                </c:pt>
                <c:pt idx="80">
                  <c:v>11.342857142857143</c:v>
                </c:pt>
                <c:pt idx="81">
                  <c:v>12.482905982905983</c:v>
                </c:pt>
                <c:pt idx="82">
                  <c:v>12.482905982905983</c:v>
                </c:pt>
                <c:pt idx="83">
                  <c:v>12.482905982905983</c:v>
                </c:pt>
                <c:pt idx="84">
                  <c:v>12.482905982905983</c:v>
                </c:pt>
                <c:pt idx="85">
                  <c:v>12.482905982905983</c:v>
                </c:pt>
                <c:pt idx="86">
                  <c:v>12.482905982905983</c:v>
                </c:pt>
                <c:pt idx="87">
                  <c:v>9.4666666666666632</c:v>
                </c:pt>
                <c:pt idx="88">
                  <c:v>12.482905982905983</c:v>
                </c:pt>
                <c:pt idx="89">
                  <c:v>12.482905982905983</c:v>
                </c:pt>
                <c:pt idx="90">
                  <c:v>12.482905982905983</c:v>
                </c:pt>
                <c:pt idx="91">
                  <c:v>12.482905982905983</c:v>
                </c:pt>
                <c:pt idx="92">
                  <c:v>12.482905982905983</c:v>
                </c:pt>
                <c:pt idx="93">
                  <c:v>12.482905982905983</c:v>
                </c:pt>
                <c:pt idx="94">
                  <c:v>12.482905982905983</c:v>
                </c:pt>
                <c:pt idx="95">
                  <c:v>12.482905982905983</c:v>
                </c:pt>
                <c:pt idx="96">
                  <c:v>12.482905982905983</c:v>
                </c:pt>
                <c:pt idx="97">
                  <c:v>12.482905982905983</c:v>
                </c:pt>
                <c:pt idx="98">
                  <c:v>9.4666666666666632</c:v>
                </c:pt>
                <c:pt idx="99">
                  <c:v>9.4666666666666632</c:v>
                </c:pt>
                <c:pt idx="100">
                  <c:v>12.482905982905983</c:v>
                </c:pt>
                <c:pt idx="101">
                  <c:v>12.482905982905983</c:v>
                </c:pt>
                <c:pt idx="102">
                  <c:v>11.342857142857143</c:v>
                </c:pt>
                <c:pt idx="103">
                  <c:v>12.482905982905983</c:v>
                </c:pt>
                <c:pt idx="104">
                  <c:v>12.482905982905983</c:v>
                </c:pt>
                <c:pt idx="105">
                  <c:v>12.482905982905983</c:v>
                </c:pt>
                <c:pt idx="106">
                  <c:v>11.342857142857143</c:v>
                </c:pt>
                <c:pt idx="107">
                  <c:v>12.482905982905983</c:v>
                </c:pt>
                <c:pt idx="108">
                  <c:v>12.482905982905983</c:v>
                </c:pt>
                <c:pt idx="109">
                  <c:v>12.482905982905983</c:v>
                </c:pt>
                <c:pt idx="110">
                  <c:v>12.482905982905983</c:v>
                </c:pt>
                <c:pt idx="111">
                  <c:v>12.482905982905983</c:v>
                </c:pt>
                <c:pt idx="112">
                  <c:v>12.482905982905983</c:v>
                </c:pt>
                <c:pt idx="113">
                  <c:v>12.482905982905983</c:v>
                </c:pt>
                <c:pt idx="114">
                  <c:v>11.342857142857143</c:v>
                </c:pt>
                <c:pt idx="115">
                  <c:v>12.482905982905983</c:v>
                </c:pt>
                <c:pt idx="116">
                  <c:v>12.482905982905983</c:v>
                </c:pt>
                <c:pt idx="117">
                  <c:v>12.482905982905983</c:v>
                </c:pt>
                <c:pt idx="118">
                  <c:v>12.482905982905983</c:v>
                </c:pt>
                <c:pt idx="119">
                  <c:v>12.482905982905983</c:v>
                </c:pt>
                <c:pt idx="120">
                  <c:v>12.482905982905983</c:v>
                </c:pt>
                <c:pt idx="121">
                  <c:v>9.4666666666666632</c:v>
                </c:pt>
                <c:pt idx="122">
                  <c:v>9.4666666666666632</c:v>
                </c:pt>
                <c:pt idx="123">
                  <c:v>11.342857142857143</c:v>
                </c:pt>
                <c:pt idx="124">
                  <c:v>12.482905982905983</c:v>
                </c:pt>
                <c:pt idx="125">
                  <c:v>12.482905982905983</c:v>
                </c:pt>
                <c:pt idx="126">
                  <c:v>12.482905982905983</c:v>
                </c:pt>
                <c:pt idx="127">
                  <c:v>12.482905982905983</c:v>
                </c:pt>
                <c:pt idx="128">
                  <c:v>12.482905982905983</c:v>
                </c:pt>
                <c:pt idx="129">
                  <c:v>12.482905982905983</c:v>
                </c:pt>
                <c:pt idx="130">
                  <c:v>12.482905982905983</c:v>
                </c:pt>
                <c:pt idx="131">
                  <c:v>12.482905982905983</c:v>
                </c:pt>
                <c:pt idx="132">
                  <c:v>12.482905982905983</c:v>
                </c:pt>
                <c:pt idx="133">
                  <c:v>12.482905982905983</c:v>
                </c:pt>
                <c:pt idx="134">
                  <c:v>12.482905982905983</c:v>
                </c:pt>
                <c:pt idx="135">
                  <c:v>12.482905982905983</c:v>
                </c:pt>
                <c:pt idx="136">
                  <c:v>12.482905982905983</c:v>
                </c:pt>
                <c:pt idx="137">
                  <c:v>12.482905982905983</c:v>
                </c:pt>
                <c:pt idx="138">
                  <c:v>12.482905982905983</c:v>
                </c:pt>
                <c:pt idx="139">
                  <c:v>12.482905982905983</c:v>
                </c:pt>
                <c:pt idx="140">
                  <c:v>12.482905982905983</c:v>
                </c:pt>
                <c:pt idx="141">
                  <c:v>11.342857142857143</c:v>
                </c:pt>
                <c:pt idx="142">
                  <c:v>12.482905982905983</c:v>
                </c:pt>
                <c:pt idx="143">
                  <c:v>12.482905982905983</c:v>
                </c:pt>
                <c:pt idx="144">
                  <c:v>12.482905982905983</c:v>
                </c:pt>
                <c:pt idx="145">
                  <c:v>12.482905982905983</c:v>
                </c:pt>
                <c:pt idx="146">
                  <c:v>9.4666666666666632</c:v>
                </c:pt>
                <c:pt idx="147">
                  <c:v>12.482905982905983</c:v>
                </c:pt>
                <c:pt idx="148">
                  <c:v>9.4666666666666632</c:v>
                </c:pt>
                <c:pt idx="149">
                  <c:v>12.482905982905983</c:v>
                </c:pt>
                <c:pt idx="150">
                  <c:v>11.342857142857143</c:v>
                </c:pt>
                <c:pt idx="151">
                  <c:v>12.482905982905983</c:v>
                </c:pt>
                <c:pt idx="152">
                  <c:v>11.342857142857143</c:v>
                </c:pt>
                <c:pt idx="153">
                  <c:v>11.342857142857143</c:v>
                </c:pt>
                <c:pt idx="154">
                  <c:v>12.482905982905983</c:v>
                </c:pt>
                <c:pt idx="155">
                  <c:v>12.482905982905983</c:v>
                </c:pt>
                <c:pt idx="156">
                  <c:v>12.482905982905983</c:v>
                </c:pt>
                <c:pt idx="157">
                  <c:v>12.482905982905983</c:v>
                </c:pt>
                <c:pt idx="158">
                  <c:v>12.482905982905983</c:v>
                </c:pt>
                <c:pt idx="159">
                  <c:v>9.4666666666666632</c:v>
                </c:pt>
                <c:pt idx="160">
                  <c:v>12.482905982905983</c:v>
                </c:pt>
                <c:pt idx="161">
                  <c:v>12.482905982905983</c:v>
                </c:pt>
                <c:pt idx="162">
                  <c:v>12.482905982905983</c:v>
                </c:pt>
                <c:pt idx="163">
                  <c:v>12.482905982905983</c:v>
                </c:pt>
                <c:pt idx="164">
                  <c:v>12.482905982905983</c:v>
                </c:pt>
                <c:pt idx="165">
                  <c:v>12.482905982905983</c:v>
                </c:pt>
                <c:pt idx="166">
                  <c:v>12.482905982905983</c:v>
                </c:pt>
                <c:pt idx="167">
                  <c:v>12.482905982905983</c:v>
                </c:pt>
                <c:pt idx="168">
                  <c:v>9.4666666666666632</c:v>
                </c:pt>
                <c:pt idx="169">
                  <c:v>12.482905982905983</c:v>
                </c:pt>
                <c:pt idx="170">
                  <c:v>9.4666666666666632</c:v>
                </c:pt>
                <c:pt idx="171">
                  <c:v>12.482905982905983</c:v>
                </c:pt>
                <c:pt idx="172">
                  <c:v>11.342857142857143</c:v>
                </c:pt>
                <c:pt idx="173">
                  <c:v>11.342857142857143</c:v>
                </c:pt>
                <c:pt idx="174">
                  <c:v>9.4666666666666632</c:v>
                </c:pt>
                <c:pt idx="175">
                  <c:v>12.482905982905983</c:v>
                </c:pt>
                <c:pt idx="176">
                  <c:v>11.342857142857143</c:v>
                </c:pt>
                <c:pt idx="177">
                  <c:v>12.482905982905983</c:v>
                </c:pt>
                <c:pt idx="178">
                  <c:v>12.482905982905983</c:v>
                </c:pt>
                <c:pt idx="179">
                  <c:v>12.482905982905983</c:v>
                </c:pt>
                <c:pt idx="180">
                  <c:v>12.482905982905983</c:v>
                </c:pt>
                <c:pt idx="181">
                  <c:v>12.482905982905983</c:v>
                </c:pt>
                <c:pt idx="182">
                  <c:v>11.342857142857143</c:v>
                </c:pt>
                <c:pt idx="183">
                  <c:v>12.482905982905983</c:v>
                </c:pt>
                <c:pt idx="184">
                  <c:v>12.482905982905983</c:v>
                </c:pt>
                <c:pt idx="185">
                  <c:v>12.482905982905983</c:v>
                </c:pt>
                <c:pt idx="186">
                  <c:v>12.482905982905983</c:v>
                </c:pt>
                <c:pt idx="187">
                  <c:v>12.482905982905983</c:v>
                </c:pt>
                <c:pt idx="188">
                  <c:v>12.482905982905983</c:v>
                </c:pt>
                <c:pt idx="189">
                  <c:v>12.482905982905983</c:v>
                </c:pt>
                <c:pt idx="190">
                  <c:v>12.482905982905983</c:v>
                </c:pt>
                <c:pt idx="191">
                  <c:v>12.482905982905983</c:v>
                </c:pt>
                <c:pt idx="192">
                  <c:v>12.482905982905983</c:v>
                </c:pt>
                <c:pt idx="193">
                  <c:v>12.482905982905983</c:v>
                </c:pt>
                <c:pt idx="194">
                  <c:v>12.482905982905983</c:v>
                </c:pt>
                <c:pt idx="195">
                  <c:v>12.482905982905983</c:v>
                </c:pt>
                <c:pt idx="196">
                  <c:v>12.482905982905983</c:v>
                </c:pt>
                <c:pt idx="197">
                  <c:v>12.482905982905983</c:v>
                </c:pt>
                <c:pt idx="198">
                  <c:v>12.482905982905983</c:v>
                </c:pt>
                <c:pt idx="199">
                  <c:v>12.482905982905983</c:v>
                </c:pt>
                <c:pt idx="200">
                  <c:v>12.482905982905983</c:v>
                </c:pt>
                <c:pt idx="201">
                  <c:v>9.4666666666666632</c:v>
                </c:pt>
                <c:pt idx="202">
                  <c:v>12.482905982905983</c:v>
                </c:pt>
                <c:pt idx="203">
                  <c:v>12.482905982905983</c:v>
                </c:pt>
                <c:pt idx="204">
                  <c:v>12.482905982905983</c:v>
                </c:pt>
                <c:pt idx="205">
                  <c:v>12.482905982905983</c:v>
                </c:pt>
                <c:pt idx="206">
                  <c:v>12.482905982905983</c:v>
                </c:pt>
                <c:pt idx="207">
                  <c:v>9.4666666666666632</c:v>
                </c:pt>
                <c:pt idx="208">
                  <c:v>11.342857142857143</c:v>
                </c:pt>
                <c:pt idx="209">
                  <c:v>12.482905982905983</c:v>
                </c:pt>
                <c:pt idx="210">
                  <c:v>12.482905982905983</c:v>
                </c:pt>
                <c:pt idx="211">
                  <c:v>12.482905982905983</c:v>
                </c:pt>
                <c:pt idx="212">
                  <c:v>12.482905982905983</c:v>
                </c:pt>
                <c:pt idx="213">
                  <c:v>12.482905982905983</c:v>
                </c:pt>
                <c:pt idx="214">
                  <c:v>12.482905982905983</c:v>
                </c:pt>
                <c:pt idx="215">
                  <c:v>9.4666666666666632</c:v>
                </c:pt>
                <c:pt idx="216">
                  <c:v>12.482905982905983</c:v>
                </c:pt>
                <c:pt idx="217">
                  <c:v>12.482905982905983</c:v>
                </c:pt>
                <c:pt idx="218">
                  <c:v>12.482905982905983</c:v>
                </c:pt>
                <c:pt idx="219">
                  <c:v>12.482905982905983</c:v>
                </c:pt>
                <c:pt idx="220">
                  <c:v>12.482905982905983</c:v>
                </c:pt>
                <c:pt idx="221">
                  <c:v>9.4666666666666632</c:v>
                </c:pt>
                <c:pt idx="222">
                  <c:v>12.482905982905983</c:v>
                </c:pt>
                <c:pt idx="223">
                  <c:v>12.482905982905983</c:v>
                </c:pt>
                <c:pt idx="224">
                  <c:v>12.482905982905983</c:v>
                </c:pt>
                <c:pt idx="225">
                  <c:v>12.482905982905983</c:v>
                </c:pt>
                <c:pt idx="226">
                  <c:v>9.4666666666666632</c:v>
                </c:pt>
                <c:pt idx="227">
                  <c:v>12.482905982905983</c:v>
                </c:pt>
                <c:pt idx="228">
                  <c:v>12.482905982905983</c:v>
                </c:pt>
                <c:pt idx="229">
                  <c:v>12.482905982905983</c:v>
                </c:pt>
                <c:pt idx="230">
                  <c:v>9.4666666666666632</c:v>
                </c:pt>
                <c:pt idx="231">
                  <c:v>12.482905982905983</c:v>
                </c:pt>
                <c:pt idx="232">
                  <c:v>12.482905982905983</c:v>
                </c:pt>
                <c:pt idx="233">
                  <c:v>12.482905982905983</c:v>
                </c:pt>
                <c:pt idx="234">
                  <c:v>12.482905982905983</c:v>
                </c:pt>
                <c:pt idx="235">
                  <c:v>12.482905982905983</c:v>
                </c:pt>
                <c:pt idx="236">
                  <c:v>9.4666666666666632</c:v>
                </c:pt>
                <c:pt idx="237">
                  <c:v>12.482905982905983</c:v>
                </c:pt>
                <c:pt idx="238">
                  <c:v>12.482905982905983</c:v>
                </c:pt>
                <c:pt idx="239">
                  <c:v>11.342857142857143</c:v>
                </c:pt>
                <c:pt idx="240">
                  <c:v>12.482905982905983</c:v>
                </c:pt>
                <c:pt idx="241">
                  <c:v>12.482905982905983</c:v>
                </c:pt>
                <c:pt idx="242">
                  <c:v>12.482905982905983</c:v>
                </c:pt>
                <c:pt idx="243">
                  <c:v>12.482905982905983</c:v>
                </c:pt>
                <c:pt idx="244">
                  <c:v>12.482905982905983</c:v>
                </c:pt>
                <c:pt idx="245">
                  <c:v>12.482905982905983</c:v>
                </c:pt>
                <c:pt idx="246">
                  <c:v>12.482905982905983</c:v>
                </c:pt>
                <c:pt idx="247">
                  <c:v>12.482905982905983</c:v>
                </c:pt>
                <c:pt idx="248">
                  <c:v>12.482905982905983</c:v>
                </c:pt>
                <c:pt idx="249">
                  <c:v>12.482905982905983</c:v>
                </c:pt>
                <c:pt idx="250">
                  <c:v>11.342857142857143</c:v>
                </c:pt>
                <c:pt idx="251">
                  <c:v>9.4666666666666632</c:v>
                </c:pt>
                <c:pt idx="252">
                  <c:v>12.482905982905983</c:v>
                </c:pt>
                <c:pt idx="253">
                  <c:v>12.482905982905983</c:v>
                </c:pt>
                <c:pt idx="254">
                  <c:v>9.4666666666666632</c:v>
                </c:pt>
                <c:pt idx="255">
                  <c:v>12.482905982905983</c:v>
                </c:pt>
                <c:pt idx="256">
                  <c:v>12.482905982905983</c:v>
                </c:pt>
                <c:pt idx="257">
                  <c:v>11.342857142857143</c:v>
                </c:pt>
                <c:pt idx="258">
                  <c:v>12.482905982905983</c:v>
                </c:pt>
                <c:pt idx="259">
                  <c:v>12.482905982905983</c:v>
                </c:pt>
                <c:pt idx="260">
                  <c:v>12.482905982905983</c:v>
                </c:pt>
                <c:pt idx="261">
                  <c:v>12.482905982905983</c:v>
                </c:pt>
                <c:pt idx="262">
                  <c:v>9.4666666666666632</c:v>
                </c:pt>
                <c:pt idx="263">
                  <c:v>12.482905982905983</c:v>
                </c:pt>
                <c:pt idx="264">
                  <c:v>11.342857142857143</c:v>
                </c:pt>
                <c:pt idx="265">
                  <c:v>12.482905982905983</c:v>
                </c:pt>
                <c:pt idx="266">
                  <c:v>12.482905982905983</c:v>
                </c:pt>
                <c:pt idx="267">
                  <c:v>12.482905982905983</c:v>
                </c:pt>
                <c:pt idx="268">
                  <c:v>12.482905982905983</c:v>
                </c:pt>
                <c:pt idx="269">
                  <c:v>9.4666666666666632</c:v>
                </c:pt>
                <c:pt idx="270">
                  <c:v>11.342857142857143</c:v>
                </c:pt>
                <c:pt idx="271">
                  <c:v>12.482905982905983</c:v>
                </c:pt>
                <c:pt idx="272">
                  <c:v>12.482905982905983</c:v>
                </c:pt>
                <c:pt idx="273">
                  <c:v>12.482905982905983</c:v>
                </c:pt>
                <c:pt idx="274">
                  <c:v>11.342857142857143</c:v>
                </c:pt>
                <c:pt idx="275">
                  <c:v>12.482905982905983</c:v>
                </c:pt>
                <c:pt idx="276">
                  <c:v>12.482905982905983</c:v>
                </c:pt>
                <c:pt idx="277">
                  <c:v>9.4666666666666632</c:v>
                </c:pt>
                <c:pt idx="278">
                  <c:v>9.4666666666666632</c:v>
                </c:pt>
                <c:pt idx="279">
                  <c:v>12.482905982905983</c:v>
                </c:pt>
                <c:pt idx="280">
                  <c:v>12.482905982905983</c:v>
                </c:pt>
                <c:pt idx="281">
                  <c:v>12.482905982905983</c:v>
                </c:pt>
                <c:pt idx="282">
                  <c:v>12.482905982905983</c:v>
                </c:pt>
                <c:pt idx="283">
                  <c:v>12.482905982905983</c:v>
                </c:pt>
                <c:pt idx="284">
                  <c:v>12.482905982905983</c:v>
                </c:pt>
                <c:pt idx="285">
                  <c:v>12.482905982905983</c:v>
                </c:pt>
                <c:pt idx="286">
                  <c:v>9.4666666666666632</c:v>
                </c:pt>
                <c:pt idx="287">
                  <c:v>12.482905982905983</c:v>
                </c:pt>
                <c:pt idx="288">
                  <c:v>12.482905982905983</c:v>
                </c:pt>
                <c:pt idx="289">
                  <c:v>12.482905982905983</c:v>
                </c:pt>
                <c:pt idx="290">
                  <c:v>11.342857142857143</c:v>
                </c:pt>
                <c:pt idx="291">
                  <c:v>12.482905982905983</c:v>
                </c:pt>
                <c:pt idx="292">
                  <c:v>11.342857142857143</c:v>
                </c:pt>
                <c:pt idx="293">
                  <c:v>12.482905982905983</c:v>
                </c:pt>
                <c:pt idx="294">
                  <c:v>12.482905982905983</c:v>
                </c:pt>
                <c:pt idx="295">
                  <c:v>12.482905982905983</c:v>
                </c:pt>
                <c:pt idx="296">
                  <c:v>12.482905982905983</c:v>
                </c:pt>
                <c:pt idx="297">
                  <c:v>12.482905982905983</c:v>
                </c:pt>
                <c:pt idx="298">
                  <c:v>12.482905982905983</c:v>
                </c:pt>
              </c:numCache>
            </c:numRef>
          </c:xVal>
          <c:yVal>
            <c:numRef>
              <c:f>'Residual Output'!$C$26:$C$324</c:f>
              <c:numCache>
                <c:formatCode>General</c:formatCode>
                <c:ptCount val="299"/>
                <c:pt idx="0">
                  <c:v>-1.3428571428571434</c:v>
                </c:pt>
                <c:pt idx="1">
                  <c:v>-12.482905982905983</c:v>
                </c:pt>
                <c:pt idx="2">
                  <c:v>0.51709401709401703</c:v>
                </c:pt>
                <c:pt idx="3">
                  <c:v>-1.482905982905983</c:v>
                </c:pt>
                <c:pt idx="4">
                  <c:v>-2.482905982905983</c:v>
                </c:pt>
                <c:pt idx="5">
                  <c:v>2.517094017094017</c:v>
                </c:pt>
                <c:pt idx="6">
                  <c:v>2.517094017094017</c:v>
                </c:pt>
                <c:pt idx="7">
                  <c:v>-0.48290598290598297</c:v>
                </c:pt>
                <c:pt idx="8">
                  <c:v>1.517094017094017</c:v>
                </c:pt>
                <c:pt idx="9">
                  <c:v>-0.48290598290598297</c:v>
                </c:pt>
                <c:pt idx="10">
                  <c:v>4.517094017094017</c:v>
                </c:pt>
                <c:pt idx="11">
                  <c:v>-12.482905982905983</c:v>
                </c:pt>
                <c:pt idx="12">
                  <c:v>0.53333333333333677</c:v>
                </c:pt>
                <c:pt idx="13">
                  <c:v>1.517094017094017</c:v>
                </c:pt>
                <c:pt idx="14">
                  <c:v>-5.482905982905983</c:v>
                </c:pt>
                <c:pt idx="15">
                  <c:v>2.517094017094017</c:v>
                </c:pt>
                <c:pt idx="16">
                  <c:v>-1.482905982905983</c:v>
                </c:pt>
                <c:pt idx="17">
                  <c:v>0.51709401709401703</c:v>
                </c:pt>
                <c:pt idx="18">
                  <c:v>-0.48290598290598297</c:v>
                </c:pt>
                <c:pt idx="19">
                  <c:v>-1.482905982905983</c:v>
                </c:pt>
                <c:pt idx="20">
                  <c:v>3.517094017094017</c:v>
                </c:pt>
                <c:pt idx="21">
                  <c:v>-0.48290598290598297</c:v>
                </c:pt>
                <c:pt idx="22">
                  <c:v>0.51709401709401703</c:v>
                </c:pt>
                <c:pt idx="23">
                  <c:v>-1.482905982905983</c:v>
                </c:pt>
                <c:pt idx="24">
                  <c:v>2.517094017094017</c:v>
                </c:pt>
                <c:pt idx="25">
                  <c:v>-4.482905982905983</c:v>
                </c:pt>
                <c:pt idx="26">
                  <c:v>-3.482905982905983</c:v>
                </c:pt>
                <c:pt idx="27">
                  <c:v>-1.3428571428571434</c:v>
                </c:pt>
                <c:pt idx="28">
                  <c:v>-2.3428571428571434</c:v>
                </c:pt>
                <c:pt idx="29">
                  <c:v>-0.48290598290598297</c:v>
                </c:pt>
                <c:pt idx="30">
                  <c:v>1.517094017094017</c:v>
                </c:pt>
                <c:pt idx="31">
                  <c:v>-0.34285714285714342</c:v>
                </c:pt>
                <c:pt idx="32">
                  <c:v>-0.46666666666666323</c:v>
                </c:pt>
                <c:pt idx="33">
                  <c:v>6.6571428571428566</c:v>
                </c:pt>
                <c:pt idx="34">
                  <c:v>-0.34285714285714342</c:v>
                </c:pt>
                <c:pt idx="35">
                  <c:v>3.517094017094017</c:v>
                </c:pt>
                <c:pt idx="36">
                  <c:v>-0.48290598290598297</c:v>
                </c:pt>
                <c:pt idx="37">
                  <c:v>0.51709401709401703</c:v>
                </c:pt>
                <c:pt idx="38">
                  <c:v>-2.482905982905983</c:v>
                </c:pt>
                <c:pt idx="39">
                  <c:v>-2.3428571428571434</c:v>
                </c:pt>
                <c:pt idx="40">
                  <c:v>4.5333333333333368</c:v>
                </c:pt>
                <c:pt idx="41">
                  <c:v>-0.46666666666666323</c:v>
                </c:pt>
                <c:pt idx="42">
                  <c:v>2.517094017094017</c:v>
                </c:pt>
                <c:pt idx="43">
                  <c:v>3.517094017094017</c:v>
                </c:pt>
                <c:pt idx="44">
                  <c:v>0.53333333333333677</c:v>
                </c:pt>
                <c:pt idx="45">
                  <c:v>-1.482905982905983</c:v>
                </c:pt>
                <c:pt idx="46">
                  <c:v>-1.3428571428571434</c:v>
                </c:pt>
                <c:pt idx="47">
                  <c:v>3.517094017094017</c:v>
                </c:pt>
                <c:pt idx="48">
                  <c:v>0.51709401709401703</c:v>
                </c:pt>
                <c:pt idx="49">
                  <c:v>-0.34285714285714342</c:v>
                </c:pt>
                <c:pt idx="50">
                  <c:v>4.517094017094017</c:v>
                </c:pt>
                <c:pt idx="51">
                  <c:v>4.517094017094017</c:v>
                </c:pt>
                <c:pt idx="52">
                  <c:v>-0.48290598290598297</c:v>
                </c:pt>
                <c:pt idx="53">
                  <c:v>2.517094017094017</c:v>
                </c:pt>
                <c:pt idx="54">
                  <c:v>1.517094017094017</c:v>
                </c:pt>
                <c:pt idx="55">
                  <c:v>-2.482905982905983</c:v>
                </c:pt>
                <c:pt idx="56">
                  <c:v>-2.482905982905983</c:v>
                </c:pt>
                <c:pt idx="57">
                  <c:v>0.51709401709401703</c:v>
                </c:pt>
                <c:pt idx="58">
                  <c:v>-1.3428571428571434</c:v>
                </c:pt>
                <c:pt idx="59">
                  <c:v>1.6571428571428566</c:v>
                </c:pt>
                <c:pt idx="60">
                  <c:v>-1.482905982905983</c:v>
                </c:pt>
                <c:pt idx="61">
                  <c:v>-1.482905982905983</c:v>
                </c:pt>
                <c:pt idx="62">
                  <c:v>-0.48290598290598297</c:v>
                </c:pt>
                <c:pt idx="63">
                  <c:v>-2.482905982905983</c:v>
                </c:pt>
                <c:pt idx="64">
                  <c:v>3.517094017094017</c:v>
                </c:pt>
                <c:pt idx="65">
                  <c:v>-2.482905982905983</c:v>
                </c:pt>
                <c:pt idx="66">
                  <c:v>-2.482905982905983</c:v>
                </c:pt>
                <c:pt idx="67">
                  <c:v>-1.482905982905983</c:v>
                </c:pt>
                <c:pt idx="68">
                  <c:v>3.517094017094017</c:v>
                </c:pt>
                <c:pt idx="69">
                  <c:v>-12.482905982905983</c:v>
                </c:pt>
                <c:pt idx="70">
                  <c:v>-2.482905982905983</c:v>
                </c:pt>
                <c:pt idx="71">
                  <c:v>2.517094017094017</c:v>
                </c:pt>
                <c:pt idx="72">
                  <c:v>3.517094017094017</c:v>
                </c:pt>
                <c:pt idx="73">
                  <c:v>-0.48290598290598297</c:v>
                </c:pt>
                <c:pt idx="74">
                  <c:v>-0.34285714285714342</c:v>
                </c:pt>
                <c:pt idx="75">
                  <c:v>-0.48290598290598297</c:v>
                </c:pt>
                <c:pt idx="76">
                  <c:v>0.65714285714285658</c:v>
                </c:pt>
                <c:pt idx="77">
                  <c:v>-0.48290598290598297</c:v>
                </c:pt>
                <c:pt idx="78">
                  <c:v>2.517094017094017</c:v>
                </c:pt>
                <c:pt idx="79">
                  <c:v>-0.48290598290598297</c:v>
                </c:pt>
                <c:pt idx="80">
                  <c:v>-3.3428571428571434</c:v>
                </c:pt>
                <c:pt idx="81">
                  <c:v>-1.482905982905983</c:v>
                </c:pt>
                <c:pt idx="82">
                  <c:v>-1.482905982905983</c:v>
                </c:pt>
                <c:pt idx="83">
                  <c:v>3.517094017094017</c:v>
                </c:pt>
                <c:pt idx="84">
                  <c:v>-0.48290598290598297</c:v>
                </c:pt>
                <c:pt idx="85">
                  <c:v>0.51709401709401703</c:v>
                </c:pt>
                <c:pt idx="86">
                  <c:v>0.51709401709401703</c:v>
                </c:pt>
                <c:pt idx="87">
                  <c:v>-0.46666666666666323</c:v>
                </c:pt>
                <c:pt idx="88">
                  <c:v>-4.482905982905983</c:v>
                </c:pt>
                <c:pt idx="89">
                  <c:v>-2.482905982905983</c:v>
                </c:pt>
                <c:pt idx="90">
                  <c:v>0.51709401709401703</c:v>
                </c:pt>
                <c:pt idx="91">
                  <c:v>-2.482905982905983</c:v>
                </c:pt>
                <c:pt idx="92">
                  <c:v>0.51709401709401703</c:v>
                </c:pt>
                <c:pt idx="93">
                  <c:v>3.517094017094017</c:v>
                </c:pt>
                <c:pt idx="94">
                  <c:v>0.51709401709401703</c:v>
                </c:pt>
                <c:pt idx="95">
                  <c:v>4.517094017094017</c:v>
                </c:pt>
                <c:pt idx="96">
                  <c:v>-2.482905982905983</c:v>
                </c:pt>
                <c:pt idx="97">
                  <c:v>0.51709401709401703</c:v>
                </c:pt>
                <c:pt idx="98">
                  <c:v>0.53333333333333677</c:v>
                </c:pt>
                <c:pt idx="99">
                  <c:v>0.53333333333333677</c:v>
                </c:pt>
                <c:pt idx="100">
                  <c:v>4.517094017094017</c:v>
                </c:pt>
                <c:pt idx="101">
                  <c:v>4.517094017094017</c:v>
                </c:pt>
                <c:pt idx="102">
                  <c:v>0.65714285714285658</c:v>
                </c:pt>
                <c:pt idx="103">
                  <c:v>-0.48290598290598297</c:v>
                </c:pt>
                <c:pt idx="104">
                  <c:v>2.517094017094017</c:v>
                </c:pt>
                <c:pt idx="105">
                  <c:v>-1.482905982905983</c:v>
                </c:pt>
                <c:pt idx="106">
                  <c:v>0.65714285714285658</c:v>
                </c:pt>
                <c:pt idx="107">
                  <c:v>1.517094017094017</c:v>
                </c:pt>
                <c:pt idx="108">
                  <c:v>-3.482905982905983</c:v>
                </c:pt>
                <c:pt idx="109">
                  <c:v>-0.48290598290598297</c:v>
                </c:pt>
                <c:pt idx="110">
                  <c:v>-0.48290598290598297</c:v>
                </c:pt>
                <c:pt idx="111">
                  <c:v>4.517094017094017</c:v>
                </c:pt>
                <c:pt idx="112">
                  <c:v>-4.482905982905983</c:v>
                </c:pt>
                <c:pt idx="113">
                  <c:v>-0.48290598290598297</c:v>
                </c:pt>
                <c:pt idx="114">
                  <c:v>-0.34285714285714342</c:v>
                </c:pt>
                <c:pt idx="115">
                  <c:v>-2.482905982905983</c:v>
                </c:pt>
                <c:pt idx="116">
                  <c:v>5.517094017094017</c:v>
                </c:pt>
                <c:pt idx="117">
                  <c:v>1.517094017094017</c:v>
                </c:pt>
                <c:pt idx="118">
                  <c:v>-0.48290598290598297</c:v>
                </c:pt>
                <c:pt idx="119">
                  <c:v>-1.482905982905983</c:v>
                </c:pt>
                <c:pt idx="120">
                  <c:v>4.517094017094017</c:v>
                </c:pt>
                <c:pt idx="121">
                  <c:v>-2.4666666666666632</c:v>
                </c:pt>
                <c:pt idx="122">
                  <c:v>-0.46666666666666323</c:v>
                </c:pt>
                <c:pt idx="123">
                  <c:v>2.6571428571428566</c:v>
                </c:pt>
                <c:pt idx="124">
                  <c:v>6.517094017094017</c:v>
                </c:pt>
                <c:pt idx="125">
                  <c:v>3.517094017094017</c:v>
                </c:pt>
                <c:pt idx="126">
                  <c:v>-2.482905982905983</c:v>
                </c:pt>
                <c:pt idx="127">
                  <c:v>-3.482905982905983</c:v>
                </c:pt>
                <c:pt idx="128">
                  <c:v>-4.482905982905983</c:v>
                </c:pt>
                <c:pt idx="129">
                  <c:v>0.51709401709401703</c:v>
                </c:pt>
                <c:pt idx="130">
                  <c:v>-0.48290598290598297</c:v>
                </c:pt>
                <c:pt idx="131">
                  <c:v>-2.482905982905983</c:v>
                </c:pt>
                <c:pt idx="132">
                  <c:v>2.517094017094017</c:v>
                </c:pt>
                <c:pt idx="133">
                  <c:v>1.517094017094017</c:v>
                </c:pt>
                <c:pt idx="134">
                  <c:v>-3.482905982905983</c:v>
                </c:pt>
                <c:pt idx="135">
                  <c:v>-1.482905982905983</c:v>
                </c:pt>
                <c:pt idx="136">
                  <c:v>-0.48290598290598297</c:v>
                </c:pt>
                <c:pt idx="137">
                  <c:v>5.517094017094017</c:v>
                </c:pt>
                <c:pt idx="138">
                  <c:v>5.517094017094017</c:v>
                </c:pt>
                <c:pt idx="139">
                  <c:v>2.517094017094017</c:v>
                </c:pt>
                <c:pt idx="140">
                  <c:v>4.517094017094017</c:v>
                </c:pt>
                <c:pt idx="141">
                  <c:v>-0.34285714285714342</c:v>
                </c:pt>
                <c:pt idx="142">
                  <c:v>1.517094017094017</c:v>
                </c:pt>
                <c:pt idx="143">
                  <c:v>-0.48290598290598297</c:v>
                </c:pt>
                <c:pt idx="144">
                  <c:v>1.517094017094017</c:v>
                </c:pt>
                <c:pt idx="145">
                  <c:v>-3.482905982905983</c:v>
                </c:pt>
                <c:pt idx="146">
                  <c:v>-3.4666666666666632</c:v>
                </c:pt>
                <c:pt idx="147">
                  <c:v>-1.482905982905983</c:v>
                </c:pt>
                <c:pt idx="148">
                  <c:v>0.53333333333333677</c:v>
                </c:pt>
                <c:pt idx="149">
                  <c:v>-4.482905982905983</c:v>
                </c:pt>
                <c:pt idx="150">
                  <c:v>0.65714285714285658</c:v>
                </c:pt>
                <c:pt idx="151">
                  <c:v>-2.482905982905983</c:v>
                </c:pt>
                <c:pt idx="152">
                  <c:v>2.6571428571428566</c:v>
                </c:pt>
                <c:pt idx="153">
                  <c:v>0.65714285714285658</c:v>
                </c:pt>
                <c:pt idx="154">
                  <c:v>-2.482905982905983</c:v>
                </c:pt>
                <c:pt idx="155">
                  <c:v>-4.482905982905983</c:v>
                </c:pt>
                <c:pt idx="156">
                  <c:v>-2.482905982905983</c:v>
                </c:pt>
                <c:pt idx="157">
                  <c:v>-2.482905982905983</c:v>
                </c:pt>
                <c:pt idx="158">
                  <c:v>2.517094017094017</c:v>
                </c:pt>
                <c:pt idx="159">
                  <c:v>0.53333333333333677</c:v>
                </c:pt>
                <c:pt idx="160">
                  <c:v>2.517094017094017</c:v>
                </c:pt>
                <c:pt idx="161">
                  <c:v>-2.482905982905983</c:v>
                </c:pt>
                <c:pt idx="162">
                  <c:v>0.51709401709401703</c:v>
                </c:pt>
                <c:pt idx="163">
                  <c:v>-0.48290598290598297</c:v>
                </c:pt>
                <c:pt idx="164">
                  <c:v>-0.48290598290598297</c:v>
                </c:pt>
                <c:pt idx="165">
                  <c:v>-4.482905982905983</c:v>
                </c:pt>
                <c:pt idx="166">
                  <c:v>-1.482905982905983</c:v>
                </c:pt>
                <c:pt idx="167">
                  <c:v>-2.482905982905983</c:v>
                </c:pt>
                <c:pt idx="168">
                  <c:v>-0.46666666666666323</c:v>
                </c:pt>
                <c:pt idx="169">
                  <c:v>-1.482905982905983</c:v>
                </c:pt>
                <c:pt idx="170">
                  <c:v>1.5333333333333368</c:v>
                </c:pt>
                <c:pt idx="171">
                  <c:v>0.51709401709401703</c:v>
                </c:pt>
                <c:pt idx="172">
                  <c:v>-0.34285714285714342</c:v>
                </c:pt>
                <c:pt idx="173">
                  <c:v>2.6571428571428566</c:v>
                </c:pt>
                <c:pt idx="174">
                  <c:v>1.5333333333333368</c:v>
                </c:pt>
                <c:pt idx="175">
                  <c:v>2.517094017094017</c:v>
                </c:pt>
                <c:pt idx="176">
                  <c:v>-0.34285714285714342</c:v>
                </c:pt>
                <c:pt idx="177">
                  <c:v>0.51709401709401703</c:v>
                </c:pt>
                <c:pt idx="178">
                  <c:v>-1.482905982905983</c:v>
                </c:pt>
                <c:pt idx="179">
                  <c:v>-2.482905982905983</c:v>
                </c:pt>
                <c:pt idx="180">
                  <c:v>5.517094017094017</c:v>
                </c:pt>
                <c:pt idx="181">
                  <c:v>0.51709401709401703</c:v>
                </c:pt>
                <c:pt idx="182">
                  <c:v>-0.34285714285714342</c:v>
                </c:pt>
                <c:pt idx="183">
                  <c:v>0.51709401709401703</c:v>
                </c:pt>
                <c:pt idx="184">
                  <c:v>2.517094017094017</c:v>
                </c:pt>
                <c:pt idx="185">
                  <c:v>0.51709401709401703</c:v>
                </c:pt>
                <c:pt idx="186">
                  <c:v>-5.482905982905983</c:v>
                </c:pt>
                <c:pt idx="187">
                  <c:v>2.517094017094017</c:v>
                </c:pt>
                <c:pt idx="188">
                  <c:v>1.517094017094017</c:v>
                </c:pt>
                <c:pt idx="189">
                  <c:v>1.517094017094017</c:v>
                </c:pt>
                <c:pt idx="190">
                  <c:v>-0.48290598290598297</c:v>
                </c:pt>
                <c:pt idx="191">
                  <c:v>3.517094017094017</c:v>
                </c:pt>
                <c:pt idx="192">
                  <c:v>5.517094017094017</c:v>
                </c:pt>
                <c:pt idx="193">
                  <c:v>-1.482905982905983</c:v>
                </c:pt>
                <c:pt idx="194">
                  <c:v>3.517094017094017</c:v>
                </c:pt>
                <c:pt idx="195">
                  <c:v>-0.48290598290598297</c:v>
                </c:pt>
                <c:pt idx="196">
                  <c:v>0.51709401709401703</c:v>
                </c:pt>
                <c:pt idx="197">
                  <c:v>2.517094017094017</c:v>
                </c:pt>
                <c:pt idx="198">
                  <c:v>-0.48290598290598297</c:v>
                </c:pt>
                <c:pt idx="199">
                  <c:v>-1.482905982905983</c:v>
                </c:pt>
                <c:pt idx="200">
                  <c:v>2.517094017094017</c:v>
                </c:pt>
                <c:pt idx="201">
                  <c:v>1.5333333333333368</c:v>
                </c:pt>
                <c:pt idx="202">
                  <c:v>-2.482905982905983</c:v>
                </c:pt>
                <c:pt idx="203">
                  <c:v>1.517094017094017</c:v>
                </c:pt>
                <c:pt idx="204">
                  <c:v>-4.482905982905983</c:v>
                </c:pt>
                <c:pt idx="205">
                  <c:v>5.517094017094017</c:v>
                </c:pt>
                <c:pt idx="206">
                  <c:v>2.517094017094017</c:v>
                </c:pt>
                <c:pt idx="207">
                  <c:v>-0.46666666666666323</c:v>
                </c:pt>
                <c:pt idx="208">
                  <c:v>1.6571428571428566</c:v>
                </c:pt>
                <c:pt idx="209">
                  <c:v>1.517094017094017</c:v>
                </c:pt>
                <c:pt idx="210">
                  <c:v>-0.48290598290598297</c:v>
                </c:pt>
                <c:pt idx="211">
                  <c:v>-1.482905982905983</c:v>
                </c:pt>
                <c:pt idx="212">
                  <c:v>-2.482905982905983</c:v>
                </c:pt>
                <c:pt idx="213">
                  <c:v>2.517094017094017</c:v>
                </c:pt>
                <c:pt idx="214">
                  <c:v>0.51709401709401703</c:v>
                </c:pt>
                <c:pt idx="215">
                  <c:v>0.53333333333333677</c:v>
                </c:pt>
                <c:pt idx="216">
                  <c:v>0.51709401709401703</c:v>
                </c:pt>
                <c:pt idx="217">
                  <c:v>3.517094017094017</c:v>
                </c:pt>
                <c:pt idx="218">
                  <c:v>-1.482905982905983</c:v>
                </c:pt>
                <c:pt idx="219">
                  <c:v>-12.482905982905983</c:v>
                </c:pt>
                <c:pt idx="220">
                  <c:v>-2.482905982905983</c:v>
                </c:pt>
                <c:pt idx="221">
                  <c:v>-1.4666666666666632</c:v>
                </c:pt>
                <c:pt idx="222">
                  <c:v>4.517094017094017</c:v>
                </c:pt>
                <c:pt idx="223">
                  <c:v>3.517094017094017</c:v>
                </c:pt>
                <c:pt idx="224">
                  <c:v>-1.482905982905983</c:v>
                </c:pt>
                <c:pt idx="225">
                  <c:v>2.517094017094017</c:v>
                </c:pt>
                <c:pt idx="226">
                  <c:v>-1.4666666666666632</c:v>
                </c:pt>
                <c:pt idx="227">
                  <c:v>-3.482905982905983</c:v>
                </c:pt>
                <c:pt idx="228">
                  <c:v>0.51709401709401703</c:v>
                </c:pt>
                <c:pt idx="229">
                  <c:v>4.517094017094017</c:v>
                </c:pt>
                <c:pt idx="230">
                  <c:v>3.5333333333333368</c:v>
                </c:pt>
                <c:pt idx="231">
                  <c:v>-1.482905982905983</c:v>
                </c:pt>
                <c:pt idx="232">
                  <c:v>-0.48290598290598297</c:v>
                </c:pt>
                <c:pt idx="233">
                  <c:v>4.517094017094017</c:v>
                </c:pt>
                <c:pt idx="234">
                  <c:v>-3.482905982905983</c:v>
                </c:pt>
                <c:pt idx="235">
                  <c:v>2.517094017094017</c:v>
                </c:pt>
                <c:pt idx="236">
                  <c:v>-1.4666666666666632</c:v>
                </c:pt>
                <c:pt idx="237">
                  <c:v>-2.482905982905983</c:v>
                </c:pt>
                <c:pt idx="238">
                  <c:v>2.517094017094017</c:v>
                </c:pt>
                <c:pt idx="239">
                  <c:v>-1.3428571428571434</c:v>
                </c:pt>
                <c:pt idx="240">
                  <c:v>-1.482905982905983</c:v>
                </c:pt>
                <c:pt idx="241">
                  <c:v>4.517094017094017</c:v>
                </c:pt>
                <c:pt idx="242">
                  <c:v>-2.482905982905983</c:v>
                </c:pt>
                <c:pt idx="243">
                  <c:v>-0.48290598290598297</c:v>
                </c:pt>
                <c:pt idx="244">
                  <c:v>-0.48290598290598297</c:v>
                </c:pt>
                <c:pt idx="245">
                  <c:v>1.517094017094017</c:v>
                </c:pt>
                <c:pt idx="246">
                  <c:v>-1.482905982905983</c:v>
                </c:pt>
                <c:pt idx="247">
                  <c:v>2.517094017094017</c:v>
                </c:pt>
                <c:pt idx="248">
                  <c:v>2.517094017094017</c:v>
                </c:pt>
                <c:pt idx="249">
                  <c:v>-4.482905982905983</c:v>
                </c:pt>
                <c:pt idx="250">
                  <c:v>-0.34285714285714342</c:v>
                </c:pt>
                <c:pt idx="251">
                  <c:v>-2.4666666666666632</c:v>
                </c:pt>
                <c:pt idx="252">
                  <c:v>1.517094017094017</c:v>
                </c:pt>
                <c:pt idx="253">
                  <c:v>-0.48290598290598297</c:v>
                </c:pt>
                <c:pt idx="254">
                  <c:v>-2.4666666666666632</c:v>
                </c:pt>
                <c:pt idx="255">
                  <c:v>0.51709401709401703</c:v>
                </c:pt>
                <c:pt idx="256">
                  <c:v>3.517094017094017</c:v>
                </c:pt>
                <c:pt idx="257">
                  <c:v>-3.3428571428571434</c:v>
                </c:pt>
                <c:pt idx="258">
                  <c:v>2.517094017094017</c:v>
                </c:pt>
                <c:pt idx="259">
                  <c:v>0.51709401709401703</c:v>
                </c:pt>
                <c:pt idx="260">
                  <c:v>1.517094017094017</c:v>
                </c:pt>
                <c:pt idx="261">
                  <c:v>2.517094017094017</c:v>
                </c:pt>
                <c:pt idx="262">
                  <c:v>1.5333333333333368</c:v>
                </c:pt>
                <c:pt idx="263">
                  <c:v>0.51709401709401703</c:v>
                </c:pt>
                <c:pt idx="264">
                  <c:v>-0.34285714285714342</c:v>
                </c:pt>
                <c:pt idx="265">
                  <c:v>-0.48290598290598297</c:v>
                </c:pt>
                <c:pt idx="266">
                  <c:v>3.517094017094017</c:v>
                </c:pt>
                <c:pt idx="267">
                  <c:v>0.51709401709401703</c:v>
                </c:pt>
                <c:pt idx="268">
                  <c:v>-3.482905982905983</c:v>
                </c:pt>
                <c:pt idx="269">
                  <c:v>-1.4666666666666632</c:v>
                </c:pt>
                <c:pt idx="270">
                  <c:v>1.6571428571428566</c:v>
                </c:pt>
                <c:pt idx="271">
                  <c:v>-1.482905982905983</c:v>
                </c:pt>
                <c:pt idx="272">
                  <c:v>-4.482905982905983</c:v>
                </c:pt>
                <c:pt idx="273">
                  <c:v>-1.482905982905983</c:v>
                </c:pt>
                <c:pt idx="274">
                  <c:v>-1.3428571428571434</c:v>
                </c:pt>
                <c:pt idx="275">
                  <c:v>1.517094017094017</c:v>
                </c:pt>
                <c:pt idx="276">
                  <c:v>3.517094017094017</c:v>
                </c:pt>
                <c:pt idx="277">
                  <c:v>-0.46666666666666323</c:v>
                </c:pt>
                <c:pt idx="278">
                  <c:v>0.53333333333333677</c:v>
                </c:pt>
                <c:pt idx="279">
                  <c:v>1.517094017094017</c:v>
                </c:pt>
                <c:pt idx="280">
                  <c:v>3.517094017094017</c:v>
                </c:pt>
                <c:pt idx="281">
                  <c:v>3.517094017094017</c:v>
                </c:pt>
                <c:pt idx="282">
                  <c:v>-4.482905982905983</c:v>
                </c:pt>
                <c:pt idx="283">
                  <c:v>-1.482905982905983</c:v>
                </c:pt>
                <c:pt idx="284">
                  <c:v>1.517094017094017</c:v>
                </c:pt>
                <c:pt idx="285">
                  <c:v>-2.482905982905983</c:v>
                </c:pt>
                <c:pt idx="286">
                  <c:v>1.5333333333333368</c:v>
                </c:pt>
                <c:pt idx="287">
                  <c:v>-1.482905982905983</c:v>
                </c:pt>
                <c:pt idx="288">
                  <c:v>1.517094017094017</c:v>
                </c:pt>
                <c:pt idx="289">
                  <c:v>1.517094017094017</c:v>
                </c:pt>
                <c:pt idx="290">
                  <c:v>1.6571428571428566</c:v>
                </c:pt>
                <c:pt idx="291">
                  <c:v>-0.48290598290598297</c:v>
                </c:pt>
                <c:pt idx="292">
                  <c:v>-1.3428571428571434</c:v>
                </c:pt>
                <c:pt idx="293">
                  <c:v>1.517094017094017</c:v>
                </c:pt>
                <c:pt idx="294">
                  <c:v>-0.48290598290598297</c:v>
                </c:pt>
                <c:pt idx="295">
                  <c:v>-1.482905982905983</c:v>
                </c:pt>
                <c:pt idx="296">
                  <c:v>-0.48290598290598297</c:v>
                </c:pt>
                <c:pt idx="297">
                  <c:v>-1.482905982905983</c:v>
                </c:pt>
                <c:pt idx="298">
                  <c:v>-12.482905982905983</c:v>
                </c:pt>
              </c:numCache>
            </c:numRef>
          </c:yVal>
          <c:smooth val="0"/>
          <c:extLst>
            <c:ext xmlns:c16="http://schemas.microsoft.com/office/drawing/2014/chart" uri="{C3380CC4-5D6E-409C-BE32-E72D297353CC}">
              <c16:uniqueId val="{00000000-FB9A-8545-9020-1401CE9C0A8F}"/>
            </c:ext>
          </c:extLst>
        </c:ser>
        <c:dLbls>
          <c:showLegendKey val="0"/>
          <c:showVal val="0"/>
          <c:showCatName val="0"/>
          <c:showSerName val="0"/>
          <c:showPercent val="0"/>
          <c:showBubbleSize val="0"/>
        </c:dLbls>
        <c:axId val="1615149055"/>
        <c:axId val="1615150399"/>
      </c:scatterChart>
      <c:valAx>
        <c:axId val="1615149055"/>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Predicted</a:t>
                </a:r>
                <a:r>
                  <a:rPr lang="en-US" b="1" baseline="0"/>
                  <a:t> Grade </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150399"/>
        <c:crosses val="autoZero"/>
        <c:crossBetween val="midCat"/>
      </c:valAx>
      <c:valAx>
        <c:axId val="1615150399"/>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Residuals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1490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Chart Title</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Chart Title</a:t>
          </a:r>
        </a:p>
      </cx:txPr>
    </cx:title>
    <cx:plotArea>
      <cx:plotAreaRegion>
        <cx:series layoutId="boxWhisker" uniqueId="{CF712A02-27DA-4531-AE49-4D8F32B821FA}">
          <cx:tx>
            <cx:txData>
              <cx:f>_xlchart.v1.0</cx:f>
              <cx:v>Study Time</cx:v>
            </cx:txData>
          </cx:tx>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tx>
        <cx:txData>
          <cx:v>Alcohol Consumption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Alcohol Consumption</a:t>
          </a:r>
        </a:p>
      </cx:txPr>
    </cx:title>
    <cx:plotArea>
      <cx:plotAreaRegion>
        <cx:series layoutId="boxWhisker" uniqueId="{491F9A93-9ECC-4E42-AD58-3274F3D5DE07}">
          <cx:tx>
            <cx:txData>
              <cx:f>_xlchart.v1.6</cx:f>
              <cx:v>Alcohol</cx:v>
            </cx:txData>
          </cx:tx>
          <cx:spPr>
            <a:solidFill>
              <a:schemeClr val="tx2">
                <a:lumMod val="25000"/>
                <a:lumOff val="75000"/>
              </a:schemeClr>
            </a:solidFill>
          </cx:spPr>
          <cx:dataLabels pos="r">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txData>
          <cx:v>Grades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Grades </a:t>
          </a:r>
        </a:p>
      </cx:txPr>
    </cx:title>
    <cx:plotArea>
      <cx:plotAreaRegion>
        <cx:series layoutId="boxWhisker" uniqueId="{57F219AF-AAE0-4B72-8307-206959B11645}">
          <cx:tx>
            <cx:txData>
              <cx:f>_xlchart.v1.4</cx:f>
              <cx:v>Grade</cx:v>
            </cx:txData>
          </cx:tx>
          <cx:spPr>
            <a:solidFill>
              <a:schemeClr val="tx2">
                <a:lumMod val="25000"/>
                <a:lumOff val="75000"/>
              </a:schemeClr>
            </a:solidFill>
          </cx:spPr>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Study Time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Study Time</a:t>
          </a:r>
        </a:p>
      </cx:txPr>
    </cx:title>
    <cx:plotArea>
      <cx:plotAreaRegion>
        <cx:series layoutId="boxWhisker" uniqueId="{CF712A02-27DA-4531-AE49-4D8F32B821FA}">
          <cx:tx>
            <cx:txData>
              <cx:f>_xlchart.v1.2</cx:f>
              <cx:v>Study Time</cx:v>
            </cx:txData>
          </cx:tx>
          <cx:spPr>
            <a:solidFill>
              <a:schemeClr val="tx2">
                <a:lumMod val="25000"/>
                <a:lumOff val="75000"/>
              </a:schemeClr>
            </a:solidFill>
          </cx:spPr>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chartData>
  <cx:chart>
    <cx:plotArea>
      <cx:plotAreaRegion>
        <cx:series layoutId="clusteredColumn" uniqueId="{B3C1BAA2-5EEB-484A-AFBC-F61946175026}">
          <cx:tx>
            <cx:txData>
              <cx:f>_xlchart.v1.8</cx:f>
              <cx:v>Residuals</cx:v>
            </cx:txData>
          </cx:tx>
          <cx:dataId val="0"/>
          <cx:layoutPr>
            <cx:binning intervalClosed="r"/>
          </cx:layoutPr>
        </cx:series>
      </cx:plotAreaRegion>
      <cx:axis id="0">
        <cx:catScaling gapWidth="0"/>
        <cx:title>
          <cx:tx>
            <cx:rich>
              <a:bodyPr spcFirstLastPara="1" vertOverflow="ellipsis" horzOverflow="overflow" wrap="square" lIns="0" tIns="0" rIns="0" bIns="0" anchor="ctr" anchorCtr="1"/>
              <a:lstStyle/>
              <a:p>
                <a:pPr algn="ctr" rtl="0">
                  <a:defRPr/>
                </a:pPr>
                <a:r>
                  <a:rPr lang="en-US" sz="1100" b="1" i="0" u="none" strike="noStrike" baseline="0">
                    <a:solidFill>
                      <a:sysClr val="windowText" lastClr="000000">
                        <a:lumMod val="65000"/>
                        <a:lumOff val="35000"/>
                      </a:sysClr>
                    </a:solidFill>
                    <a:latin typeface="Aptos Narrow" panose="02110004020202020204"/>
                  </a:rPr>
                  <a:t>Residuals</a:t>
                </a:r>
                <a:r>
                  <a:rPr lang="en-US" sz="900" b="0" i="0" u="none" strike="noStrike" baseline="0">
                    <a:solidFill>
                      <a:sysClr val="windowText" lastClr="000000">
                        <a:lumMod val="65000"/>
                        <a:lumOff val="35000"/>
                      </a:sysClr>
                    </a:solidFill>
                    <a:latin typeface="Aptos Narrow" panose="02110004020202020204"/>
                  </a:rPr>
                  <a:t> </a:t>
                </a:r>
              </a:p>
            </cx:rich>
          </cx:tx>
        </cx:title>
        <cx:tickLabels/>
      </cx:axis>
      <cx:axis id="1">
        <cx:valScaling/>
        <cx:title>
          <cx:tx>
            <cx:txData>
              <cx:v>Frequency</cx:v>
            </cx:txData>
          </cx:tx>
          <cx:txPr>
            <a:bodyPr spcFirstLastPara="1" vertOverflow="ellipsis" horzOverflow="overflow" wrap="square" lIns="0" tIns="0" rIns="0" bIns="0" anchor="ctr" anchorCtr="1"/>
            <a:lstStyle/>
            <a:p>
              <a:pPr algn="ctr" rtl="0">
                <a:defRPr/>
              </a:pPr>
              <a:r>
                <a:rPr lang="en-US" sz="1100" b="1" i="0" u="none" strike="noStrike" baseline="0">
                  <a:solidFill>
                    <a:sysClr val="windowText" lastClr="000000">
                      <a:lumMod val="65000"/>
                      <a:lumOff val="35000"/>
                    </a:sysClr>
                  </a:solidFill>
                  <a:latin typeface="Aptos Narrow" panose="02110004020202020204"/>
                </a:rPr>
                <a:t>Frequency</a:t>
              </a:r>
            </a:p>
          </cx:txPr>
        </cx:title>
        <cx:majorGridlines>
          <cx:spPr>
            <a:ln>
              <a:noFill/>
            </a:ln>
          </cx:spPr>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8.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microsoft.com/office/2014/relationships/chartEx" Target="../charts/chartEx4.xml"/><Relationship Id="rId3" Type="http://schemas.openxmlformats.org/officeDocument/2006/relationships/chart" Target="../charts/chart4.xml"/><Relationship Id="rId7" Type="http://schemas.microsoft.com/office/2014/relationships/chartEx" Target="../charts/chartEx3.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6.xml"/><Relationship Id="rId5" Type="http://schemas.openxmlformats.org/officeDocument/2006/relationships/chart" Target="../charts/chart5.xml"/><Relationship Id="rId4" Type="http://schemas.microsoft.com/office/2014/relationships/chartEx" Target="../charts/chartEx2.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2.xml"/><Relationship Id="rId4" Type="http://schemas.microsoft.com/office/2014/relationships/chartEx" Target="../charts/chartEx5.xml"/></Relationships>
</file>

<file path=xl/drawings/drawing1.xml><?xml version="1.0" encoding="utf-8"?>
<xdr:wsDr xmlns:xdr="http://schemas.openxmlformats.org/drawingml/2006/spreadsheetDrawing" xmlns:a="http://schemas.openxmlformats.org/drawingml/2006/main">
  <xdr:twoCellAnchor>
    <xdr:from>
      <xdr:col>16</xdr:col>
      <xdr:colOff>517380</xdr:colOff>
      <xdr:row>618</xdr:row>
      <xdr:rowOff>187036</xdr:rowOff>
    </xdr:from>
    <xdr:to>
      <xdr:col>22</xdr:col>
      <xdr:colOff>218642</xdr:colOff>
      <xdr:row>633</xdr:row>
      <xdr:rowOff>7793</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95136FB1-FCCB-7798-C6FC-91F2C5EF516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4131780" y="125764636"/>
              <a:ext cx="4501862" cy="286875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542636</xdr:colOff>
      <xdr:row>135</xdr:row>
      <xdr:rowOff>167794</xdr:rowOff>
    </xdr:from>
    <xdr:to>
      <xdr:col>15</xdr:col>
      <xdr:colOff>342515</xdr:colOff>
      <xdr:row>148</xdr:row>
      <xdr:rowOff>159327</xdr:rowOff>
    </xdr:to>
    <xdr:graphicFrame macro="">
      <xdr:nvGraphicFramePr>
        <xdr:cNvPr id="2" name="Chart 1">
          <a:extLst>
            <a:ext uri="{FF2B5EF4-FFF2-40B4-BE49-F238E27FC236}">
              <a16:creationId xmlns:a16="http://schemas.microsoft.com/office/drawing/2014/main" id="{66737E6D-994F-F912-7872-DBB4D10B15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22225</xdr:colOff>
      <xdr:row>20</xdr:row>
      <xdr:rowOff>190500</xdr:rowOff>
    </xdr:from>
    <xdr:to>
      <xdr:col>10</xdr:col>
      <xdr:colOff>22225</xdr:colOff>
      <xdr:row>34</xdr:row>
      <xdr:rowOff>92075</xdr:rowOff>
    </xdr:to>
    <xdr:graphicFrame macro="">
      <xdr:nvGraphicFramePr>
        <xdr:cNvPr id="12" name="Chart 3">
          <a:extLst>
            <a:ext uri="{FF2B5EF4-FFF2-40B4-BE49-F238E27FC236}">
              <a16:creationId xmlns:a16="http://schemas.microsoft.com/office/drawing/2014/main" id="{078EF6C6-7AEF-0D2F-933D-D2CBB3E98A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6350</xdr:colOff>
      <xdr:row>2</xdr:row>
      <xdr:rowOff>6350</xdr:rowOff>
    </xdr:from>
    <xdr:to>
      <xdr:col>9</xdr:col>
      <xdr:colOff>615950</xdr:colOff>
      <xdr:row>15</xdr:row>
      <xdr:rowOff>107950</xdr:rowOff>
    </xdr:to>
    <xdr:graphicFrame macro="">
      <xdr:nvGraphicFramePr>
        <xdr:cNvPr id="4" name="Chart 1">
          <a:extLst>
            <a:ext uri="{FF2B5EF4-FFF2-40B4-BE49-F238E27FC236}">
              <a16:creationId xmlns:a16="http://schemas.microsoft.com/office/drawing/2014/main" id="{980AE59E-D9E6-0D91-E4D5-E547AB515A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5</xdr:row>
      <xdr:rowOff>1</xdr:rowOff>
    </xdr:from>
    <xdr:to>
      <xdr:col>19</xdr:col>
      <xdr:colOff>476250</xdr:colOff>
      <xdr:row>7</xdr:row>
      <xdr:rowOff>31750</xdr:rowOff>
    </xdr:to>
    <xdr:sp macro="" textlink="">
      <xdr:nvSpPr>
        <xdr:cNvPr id="13" name="TextBox 4">
          <a:extLst>
            <a:ext uri="{FF2B5EF4-FFF2-40B4-BE49-F238E27FC236}">
              <a16:creationId xmlns:a16="http://schemas.microsoft.com/office/drawing/2014/main" id="{6CC66253-7160-F215-71EE-FD3C569CE276}"/>
            </a:ext>
          </a:extLst>
        </xdr:cNvPr>
        <xdr:cNvSpPr txBox="1"/>
      </xdr:nvSpPr>
      <xdr:spPr>
        <a:xfrm>
          <a:off x="6521450" y="1016001"/>
          <a:ext cx="3765550" cy="438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Students participating</a:t>
          </a:r>
          <a:r>
            <a:rPr lang="en-US" sz="1100" baseline="0"/>
            <a:t> in extracurricular activities in school are almost evenly split, with both percentages rounded to 50%</a:t>
          </a:r>
          <a:endParaRPr lang="en-US" sz="1100"/>
        </a:p>
      </xdr:txBody>
    </xdr:sp>
    <xdr:clientData/>
  </xdr:twoCellAnchor>
  <xdr:oneCellAnchor>
    <xdr:from>
      <xdr:col>11</xdr:col>
      <xdr:colOff>228600</xdr:colOff>
      <xdr:row>22</xdr:row>
      <xdr:rowOff>44450</xdr:rowOff>
    </xdr:from>
    <xdr:ext cx="184731" cy="264560"/>
    <xdr:sp macro="" textlink="">
      <xdr:nvSpPr>
        <xdr:cNvPr id="7" name="TextBox 6">
          <a:extLst>
            <a:ext uri="{FF2B5EF4-FFF2-40B4-BE49-F238E27FC236}">
              <a16:creationId xmlns:a16="http://schemas.microsoft.com/office/drawing/2014/main" id="{96366408-716B-C8A4-20A4-C2961BB09DFE}"/>
            </a:ext>
          </a:extLst>
        </xdr:cNvPr>
        <xdr:cNvSpPr txBox="1"/>
      </xdr:nvSpPr>
      <xdr:spPr>
        <a:xfrm>
          <a:off x="8756650" y="4514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11</xdr:col>
      <xdr:colOff>0</xdr:colOff>
      <xdr:row>23</xdr:row>
      <xdr:rowOff>107950</xdr:rowOff>
    </xdr:from>
    <xdr:to>
      <xdr:col>20</xdr:col>
      <xdr:colOff>241300</xdr:colOff>
      <xdr:row>26</xdr:row>
      <xdr:rowOff>177800</xdr:rowOff>
    </xdr:to>
    <xdr:sp macro="" textlink="">
      <xdr:nvSpPr>
        <xdr:cNvPr id="14" name="TextBox 7">
          <a:extLst>
            <a:ext uri="{FF2B5EF4-FFF2-40B4-BE49-F238E27FC236}">
              <a16:creationId xmlns:a16="http://schemas.microsoft.com/office/drawing/2014/main" id="{4F25F0B3-F3D4-7E0A-77BE-4A7EC893B97C}"/>
            </a:ext>
          </a:extLst>
        </xdr:cNvPr>
        <xdr:cNvSpPr txBox="1"/>
      </xdr:nvSpPr>
      <xdr:spPr>
        <a:xfrm>
          <a:off x="6521450" y="4781550"/>
          <a:ext cx="4203700" cy="67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12%</a:t>
          </a:r>
          <a:r>
            <a:rPr lang="en-US" sz="1100" baseline="0"/>
            <a:t> of students receive extra educational support, while 88% do not. It is not specified whether this support is required for the 35 students, or if they chose to receive the additional help.</a:t>
          </a:r>
        </a:p>
      </xdr:txBody>
    </xdr:sp>
    <xdr:clientData/>
  </xdr:twoCellAnchor>
  <xdr:twoCellAnchor>
    <xdr:from>
      <xdr:col>2</xdr:col>
      <xdr:colOff>752475</xdr:colOff>
      <xdr:row>35</xdr:row>
      <xdr:rowOff>0</xdr:rowOff>
    </xdr:from>
    <xdr:to>
      <xdr:col>10</xdr:col>
      <xdr:colOff>19050</xdr:colOff>
      <xdr:row>48</xdr:row>
      <xdr:rowOff>142875</xdr:rowOff>
    </xdr:to>
    <xdr:graphicFrame macro="">
      <xdr:nvGraphicFramePr>
        <xdr:cNvPr id="30" name="Chart 2">
          <a:extLst>
            <a:ext uri="{FF2B5EF4-FFF2-40B4-BE49-F238E27FC236}">
              <a16:creationId xmlns:a16="http://schemas.microsoft.com/office/drawing/2014/main" id="{48F0F251-7AD2-84E5-9E4D-B608DF3BA4A7}"/>
            </a:ext>
            <a:ext uri="{147F2762-F138-4A5C-976F-8EAC2B608ADB}">
              <a16:predDERef xmlns:a16="http://schemas.microsoft.com/office/drawing/2014/main" pred="{4F25F0B3-F3D4-7E0A-77BE-4A7EC893B9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571500</xdr:colOff>
      <xdr:row>50</xdr:row>
      <xdr:rowOff>25400</xdr:rowOff>
    </xdr:from>
    <xdr:to>
      <xdr:col>14</xdr:col>
      <xdr:colOff>76200</xdr:colOff>
      <xdr:row>63</xdr:row>
      <xdr:rowOff>127000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4977C5EE-4914-784F-A1B9-4DF5E483449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924300" y="10191750"/>
              <a:ext cx="45212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10</xdr:col>
      <xdr:colOff>218610</xdr:colOff>
      <xdr:row>38</xdr:row>
      <xdr:rowOff>10609</xdr:rowOff>
    </xdr:from>
    <xdr:ext cx="4219575" cy="704849"/>
    <xdr:sp macro="" textlink="">
      <xdr:nvSpPr>
        <xdr:cNvPr id="10" name="TextBox 9">
          <a:extLst>
            <a:ext uri="{FF2B5EF4-FFF2-40B4-BE49-F238E27FC236}">
              <a16:creationId xmlns:a16="http://schemas.microsoft.com/office/drawing/2014/main" id="{0423F80E-766C-7BBC-9328-B4D9E0B6D994}"/>
            </a:ext>
          </a:extLst>
        </xdr:cNvPr>
        <xdr:cNvSpPr txBox="1"/>
      </xdr:nvSpPr>
      <xdr:spPr>
        <a:xfrm>
          <a:off x="7675988" y="7661585"/>
          <a:ext cx="4219575" cy="7048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t>269</a:t>
          </a:r>
          <a:r>
            <a:rPr lang="en-US" sz="1100" baseline="0"/>
            <a:t> of 299  of students (90%), decided to attend college after high school </a:t>
          </a:r>
          <a:endParaRPr lang="en-US" sz="1100"/>
        </a:p>
      </xdr:txBody>
    </xdr:sp>
    <xdr:clientData/>
  </xdr:oneCellAnchor>
  <xdr:oneCellAnchor>
    <xdr:from>
      <xdr:col>15</xdr:col>
      <xdr:colOff>177490</xdr:colOff>
      <xdr:row>54</xdr:row>
      <xdr:rowOff>35079</xdr:rowOff>
    </xdr:from>
    <xdr:ext cx="2495550" cy="953466"/>
    <xdr:sp macro="" textlink="">
      <xdr:nvSpPr>
        <xdr:cNvPr id="11" name="TextBox 10">
          <a:extLst>
            <a:ext uri="{FF2B5EF4-FFF2-40B4-BE49-F238E27FC236}">
              <a16:creationId xmlns:a16="http://schemas.microsoft.com/office/drawing/2014/main" id="{D272018C-7D43-D6B3-65DF-0204530775B1}"/>
            </a:ext>
          </a:extLst>
        </xdr:cNvPr>
        <xdr:cNvSpPr txBox="1"/>
      </xdr:nvSpPr>
      <xdr:spPr>
        <a:xfrm>
          <a:off x="8796453" y="10915262"/>
          <a:ext cx="2495550" cy="953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Here you can see the outliers are 4</a:t>
          </a:r>
          <a:r>
            <a:rPr lang="en-US" sz="1100" baseline="0"/>
            <a:t> and 5 for alcohol consumption. Most students reported around 1-3 on the alcohol scale. We have decided to keep the outliers in our analysis.</a:t>
          </a:r>
          <a:endParaRPr lang="en-US" sz="1100"/>
        </a:p>
      </xdr:txBody>
    </xdr:sp>
    <xdr:clientData/>
  </xdr:oneCellAnchor>
  <xdr:twoCellAnchor>
    <xdr:from>
      <xdr:col>3</xdr:col>
      <xdr:colOff>57150</xdr:colOff>
      <xdr:row>73</xdr:row>
      <xdr:rowOff>9525</xdr:rowOff>
    </xdr:from>
    <xdr:to>
      <xdr:col>15</xdr:col>
      <xdr:colOff>133350</xdr:colOff>
      <xdr:row>86</xdr:row>
      <xdr:rowOff>152400</xdr:rowOff>
    </xdr:to>
    <xdr:graphicFrame macro="">
      <xdr:nvGraphicFramePr>
        <xdr:cNvPr id="17" name="Chart 16">
          <a:extLst>
            <a:ext uri="{FF2B5EF4-FFF2-40B4-BE49-F238E27FC236}">
              <a16:creationId xmlns:a16="http://schemas.microsoft.com/office/drawing/2014/main" id="{1CCEDEC7-E396-91CA-9B9A-D718AD7EE071}"/>
            </a:ext>
            <a:ext uri="{147F2762-F138-4A5C-976F-8EAC2B608ADB}">
              <a16:predDERef xmlns:a16="http://schemas.microsoft.com/office/drawing/2014/main" pred="{D272018C-7D43-D6B3-65DF-0204530775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790575</xdr:colOff>
      <xdr:row>101</xdr:row>
      <xdr:rowOff>19050</xdr:rowOff>
    </xdr:from>
    <xdr:to>
      <xdr:col>15</xdr:col>
      <xdr:colOff>66675</xdr:colOff>
      <xdr:row>114</xdr:row>
      <xdr:rowOff>161925</xdr:rowOff>
    </xdr:to>
    <xdr:graphicFrame macro="">
      <xdr:nvGraphicFramePr>
        <xdr:cNvPr id="6" name="Chart 17">
          <a:extLst>
            <a:ext uri="{FF2B5EF4-FFF2-40B4-BE49-F238E27FC236}">
              <a16:creationId xmlns:a16="http://schemas.microsoft.com/office/drawing/2014/main" id="{F2F6157C-E9DB-387E-752B-C1642B74F89E}"/>
            </a:ext>
            <a:ext uri="{147F2762-F138-4A5C-976F-8EAC2B608ADB}">
              <a16:predDERef xmlns:a16="http://schemas.microsoft.com/office/drawing/2014/main" pred="{1CCEDEC7-E396-91CA-9B9A-D718AD7EE0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781050</xdr:colOff>
      <xdr:row>135</xdr:row>
      <xdr:rowOff>180975</xdr:rowOff>
    </xdr:from>
    <xdr:to>
      <xdr:col>15</xdr:col>
      <xdr:colOff>85725</xdr:colOff>
      <xdr:row>149</xdr:row>
      <xdr:rowOff>123825</xdr:rowOff>
    </xdr:to>
    <mc:AlternateContent xmlns:mc="http://schemas.openxmlformats.org/markup-compatibility/2006">
      <mc:Choice xmlns:cx1="http://schemas.microsoft.com/office/drawing/2015/9/8/chartex" Requires="cx1">
        <xdr:graphicFrame macro="">
          <xdr:nvGraphicFramePr>
            <xdr:cNvPr id="20" name="Chart 7">
              <a:extLst>
                <a:ext uri="{FF2B5EF4-FFF2-40B4-BE49-F238E27FC236}">
                  <a16:creationId xmlns:a16="http://schemas.microsoft.com/office/drawing/2014/main" id="{5802D537-1A97-47EF-AE46-5C1D046E189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4133850" y="27632025"/>
              <a:ext cx="4549775" cy="27876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695325</xdr:colOff>
      <xdr:row>154</xdr:row>
      <xdr:rowOff>123825</xdr:rowOff>
    </xdr:from>
    <xdr:to>
      <xdr:col>15</xdr:col>
      <xdr:colOff>0</xdr:colOff>
      <xdr:row>168</xdr:row>
      <xdr:rowOff>66675</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01B2919C-71E0-471D-B6A5-A8531EE327A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4048125" y="31448375"/>
              <a:ext cx="4549775" cy="27876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16</xdr:col>
      <xdr:colOff>352424</xdr:colOff>
      <xdr:row>138</xdr:row>
      <xdr:rowOff>9524</xdr:rowOff>
    </xdr:from>
    <xdr:ext cx="3788035" cy="1297919"/>
    <xdr:sp macro="" textlink="">
      <xdr:nvSpPr>
        <xdr:cNvPr id="18" name="TextBox 17">
          <a:extLst>
            <a:ext uri="{FF2B5EF4-FFF2-40B4-BE49-F238E27FC236}">
              <a16:creationId xmlns:a16="http://schemas.microsoft.com/office/drawing/2014/main" id="{0EA02931-FCC2-CE7C-813E-40C59B1B33F6}"/>
            </a:ext>
            <a:ext uri="{147F2762-F138-4A5C-976F-8EAC2B608ADB}">
              <a16:predDERef xmlns:a16="http://schemas.microsoft.com/office/drawing/2014/main" pred="{01B2919C-71E0-471D-B6A5-A8531EE327A3}"/>
            </a:ext>
          </a:extLst>
        </xdr:cNvPr>
        <xdr:cNvSpPr txBox="1"/>
      </xdr:nvSpPr>
      <xdr:spPr>
        <a:xfrm>
          <a:off x="9184108" y="27748657"/>
          <a:ext cx="3788035" cy="12979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The</a:t>
          </a:r>
          <a:r>
            <a:rPr lang="en-US" sz="1100" baseline="0"/>
            <a:t> average score was 11.9 out of 19 points. </a:t>
          </a:r>
        </a:p>
        <a:p>
          <a:r>
            <a:rPr lang="en-US" sz="1100" baseline="0"/>
            <a:t>The distribution is negatively skewed which shows that higher grades were more common rtaher than lower ones.</a:t>
          </a:r>
        </a:p>
        <a:p>
          <a:r>
            <a:rPr lang="en-US" sz="1100" baseline="0"/>
            <a:t>The standard deviation was 3.23 which shows some variablility in performance.</a:t>
          </a:r>
        </a:p>
        <a:p>
          <a:r>
            <a:rPr lang="en-US" sz="1100" baseline="0"/>
            <a:t>There are two outliers. We have decided to keep those in our analysis.</a:t>
          </a:r>
          <a:endParaRPr lang="en-US" sz="1100"/>
        </a:p>
      </xdr:txBody>
    </xdr:sp>
    <xdr:clientData/>
  </xdr:oneCellAnchor>
  <xdr:oneCellAnchor>
    <xdr:from>
      <xdr:col>16</xdr:col>
      <xdr:colOff>142876</xdr:colOff>
      <xdr:row>156</xdr:row>
      <xdr:rowOff>19049</xdr:rowOff>
    </xdr:from>
    <xdr:ext cx="3725440" cy="1125693"/>
    <xdr:sp macro="" textlink="">
      <xdr:nvSpPr>
        <xdr:cNvPr id="19" name="TextBox 18">
          <a:extLst>
            <a:ext uri="{FF2B5EF4-FFF2-40B4-BE49-F238E27FC236}">
              <a16:creationId xmlns:a16="http://schemas.microsoft.com/office/drawing/2014/main" id="{C9454F71-3874-9577-6BDB-52A32866A7B6}"/>
            </a:ext>
          </a:extLst>
        </xdr:cNvPr>
        <xdr:cNvSpPr txBox="1"/>
      </xdr:nvSpPr>
      <xdr:spPr>
        <a:xfrm>
          <a:off x="8974560" y="31386753"/>
          <a:ext cx="3725440" cy="11256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The</a:t>
          </a:r>
          <a:r>
            <a:rPr lang="en-US" sz="1100" baseline="0"/>
            <a:t> average hours studying was 3.7 with the majority of students studying from a range of 0-6 hours. </a:t>
          </a:r>
        </a:p>
        <a:p>
          <a:r>
            <a:rPr lang="en-US" sz="1100" baseline="0"/>
            <a:t>The disribution is positively skewed which gives suggests the students studies in short periods of time. </a:t>
          </a:r>
        </a:p>
        <a:p>
          <a:r>
            <a:rPr lang="en-US" sz="1100" baseline="0"/>
            <a:t>There are numerous outliers. We have decided to keep those in our analysis.</a:t>
          </a:r>
          <a:endParaRPr lang="en-US" sz="1100"/>
        </a:p>
      </xdr:txBody>
    </xdr:sp>
    <xdr:clientData/>
  </xdr:oneCellAnchor>
  <xdr:twoCellAnchor>
    <xdr:from>
      <xdr:col>16</xdr:col>
      <xdr:colOff>542925</xdr:colOff>
      <xdr:row>75</xdr:row>
      <xdr:rowOff>57150</xdr:rowOff>
    </xdr:from>
    <xdr:to>
      <xdr:col>20</xdr:col>
      <xdr:colOff>85725</xdr:colOff>
      <xdr:row>86</xdr:row>
      <xdr:rowOff>104775</xdr:rowOff>
    </xdr:to>
    <xdr:sp macro="" textlink="">
      <xdr:nvSpPr>
        <xdr:cNvPr id="2" name="TextBox 1">
          <a:extLst>
            <a:ext uri="{FF2B5EF4-FFF2-40B4-BE49-F238E27FC236}">
              <a16:creationId xmlns:a16="http://schemas.microsoft.com/office/drawing/2014/main" id="{7F2836CF-18B7-FB55-FA70-202480969076}"/>
            </a:ext>
            <a:ext uri="{147F2762-F138-4A5C-976F-8EAC2B608ADB}">
              <a16:predDERef xmlns:a16="http://schemas.microsoft.com/office/drawing/2014/main" pred="{C9454F71-3874-9577-6BDB-52A32866A7B6}"/>
            </a:ext>
          </a:extLst>
        </xdr:cNvPr>
        <xdr:cNvSpPr txBox="1"/>
      </xdr:nvSpPr>
      <xdr:spPr>
        <a:xfrm>
          <a:off x="9401175" y="15078075"/>
          <a:ext cx="2371725" cy="2247900"/>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en-US" sz="1100" b="0">
              <a:latin typeface="Aptos Narrow" panose="020B0004020202020204" pitchFamily="34" charset="0"/>
            </a:rPr>
            <a:t>Most students had no failures, as shown by the mode and median both being 0.</a:t>
          </a:r>
        </a:p>
        <a:p>
          <a:pPr marL="0" indent="0" algn="l"/>
          <a:r>
            <a:rPr lang="en-US" sz="1100" b="0">
              <a:latin typeface="Aptos Narrow" panose="020B0004020202020204" pitchFamily="34" charset="0"/>
            </a:rPr>
            <a:t>The distribution is positively skewed </a:t>
          </a:r>
          <a:r>
            <a:rPr lang="en-US" sz="1100" b="0" i="0" u="none" strike="noStrike">
              <a:solidFill>
                <a:srgbClr val="000000"/>
              </a:solidFill>
              <a:latin typeface="Aptos Narrow" panose="020B0004020202020204" pitchFamily="34" charset="0"/>
            </a:rPr>
            <a:t>at </a:t>
          </a:r>
          <a:r>
            <a:rPr lang="en-US" sz="1100" b="0">
              <a:latin typeface="Aptos Narrow" panose="020B0004020202020204" pitchFamily="34" charset="0"/>
            </a:rPr>
            <a:t>(3.16) indicating that a small number of students had multiple failures, but these were rare.</a:t>
          </a:r>
        </a:p>
      </xdr:txBody>
    </xdr:sp>
    <xdr:clientData/>
  </xdr:twoCellAnchor>
  <xdr:twoCellAnchor>
    <xdr:from>
      <xdr:col>16</xdr:col>
      <xdr:colOff>314325</xdr:colOff>
      <xdr:row>103</xdr:row>
      <xdr:rowOff>161925</xdr:rowOff>
    </xdr:from>
    <xdr:to>
      <xdr:col>20</xdr:col>
      <xdr:colOff>200025</xdr:colOff>
      <xdr:row>113</xdr:row>
      <xdr:rowOff>190500</xdr:rowOff>
    </xdr:to>
    <xdr:sp macro="" textlink="">
      <xdr:nvSpPr>
        <xdr:cNvPr id="3" name="TextBox 2">
          <a:extLst>
            <a:ext uri="{FF2B5EF4-FFF2-40B4-BE49-F238E27FC236}">
              <a16:creationId xmlns:a16="http://schemas.microsoft.com/office/drawing/2014/main" id="{44C7E566-BA18-FFA5-9BF5-D00252832606}"/>
            </a:ext>
            <a:ext uri="{147F2762-F138-4A5C-976F-8EAC2B608ADB}">
              <a16:predDERef xmlns:a16="http://schemas.microsoft.com/office/drawing/2014/main" pred="{7F2836CF-18B7-FB55-FA70-202480969076}"/>
            </a:ext>
          </a:extLst>
        </xdr:cNvPr>
        <xdr:cNvSpPr txBox="1"/>
      </xdr:nvSpPr>
      <xdr:spPr>
        <a:xfrm>
          <a:off x="9172575" y="20783550"/>
          <a:ext cx="2714625" cy="2028825"/>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en-US" sz="1100" b="0">
              <a:latin typeface="Aptos Narrow" panose="020B0004020202020204" pitchFamily="34" charset="0"/>
            </a:rPr>
            <a:t>The most common number of absences was 0, with 118 out of 299 students having perfect attendance.</a:t>
          </a:r>
        </a:p>
        <a:p>
          <a:pPr marL="0" indent="0" algn="l"/>
          <a:r>
            <a:rPr lang="en-US" sz="1100" b="0">
              <a:latin typeface="Aptos Narrow" panose="020B0004020202020204" pitchFamily="34" charset="0"/>
            </a:rPr>
            <a:t>The distribution is positively skewed </a:t>
          </a:r>
          <a:r>
            <a:rPr lang="en-US" sz="1100" b="0" i="0" u="none" strike="noStrike">
              <a:solidFill>
                <a:srgbClr val="000000"/>
              </a:solidFill>
              <a:latin typeface="Aptos Narrow" panose="020B0004020202020204" pitchFamily="34" charset="0"/>
            </a:rPr>
            <a:t>at</a:t>
          </a:r>
          <a:r>
            <a:rPr lang="en-US" sz="1100" b="0">
              <a:latin typeface="Aptos Narrow" panose="020B0004020202020204" pitchFamily="34" charset="0"/>
            </a:rPr>
            <a:t> </a:t>
          </a:r>
          <a:r>
            <a:rPr lang="en-US" sz="1100" b="0" i="0" u="none" strike="noStrike">
              <a:solidFill>
                <a:srgbClr val="000000"/>
              </a:solidFill>
              <a:latin typeface="Aptos Narrow" panose="020B0004020202020204" pitchFamily="34" charset="0"/>
            </a:rPr>
            <a:t>(</a:t>
          </a:r>
          <a:r>
            <a:rPr lang="en-US" sz="1100" b="0">
              <a:latin typeface="Aptos Narrow" panose="020B0004020202020204" pitchFamily="34" charset="0"/>
            </a:rPr>
            <a:t>1.57) indicating that while most students had few or no absences, a small number had significantly higher absences.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12700</xdr:colOff>
      <xdr:row>16</xdr:row>
      <xdr:rowOff>88900</xdr:rowOff>
    </xdr:from>
    <xdr:to>
      <xdr:col>6</xdr:col>
      <xdr:colOff>152400</xdr:colOff>
      <xdr:row>27</xdr:row>
      <xdr:rowOff>57150</xdr:rowOff>
    </xdr:to>
    <xdr:sp macro="" textlink="">
      <xdr:nvSpPr>
        <xdr:cNvPr id="517" name="TextBox 1">
          <a:extLst>
            <a:ext uri="{FF2B5EF4-FFF2-40B4-BE49-F238E27FC236}">
              <a16:creationId xmlns:a16="http://schemas.microsoft.com/office/drawing/2014/main" id="{16B2D1FB-3F72-8E04-AC50-FB08CC929785}"/>
            </a:ext>
          </a:extLst>
        </xdr:cNvPr>
        <xdr:cNvSpPr txBox="1"/>
      </xdr:nvSpPr>
      <xdr:spPr>
        <a:xfrm>
          <a:off x="2032000" y="3352800"/>
          <a:ext cx="4648200" cy="2203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Is there a difference in average final</a:t>
          </a:r>
          <a:r>
            <a:rPr lang="en-US" sz="1100" baseline="0"/>
            <a:t> grade for students based on whether they got extra school support or not?</a:t>
          </a:r>
        </a:p>
        <a:p>
          <a:endParaRPr lang="en-US" sz="1100" baseline="0"/>
        </a:p>
        <a:p>
          <a:r>
            <a:rPr lang="en-US" sz="1100"/>
            <a:t>H0:</a:t>
          </a:r>
          <a:r>
            <a:rPr lang="en-US" sz="1100" baseline="0"/>
            <a:t> Average for Support = Average for no support</a:t>
          </a:r>
        </a:p>
        <a:p>
          <a:r>
            <a:rPr lang="en-US" sz="1100" baseline="0"/>
            <a:t>HA: Average for Support </a:t>
          </a:r>
          <a:r>
            <a:rPr lang="en-US" sz="1100" b="0" i="0" u="none" strike="noStrike">
              <a:solidFill>
                <a:schemeClr val="dk1"/>
              </a:solidFill>
              <a:effectLst/>
              <a:latin typeface="+mn-lt"/>
              <a:ea typeface="+mn-ea"/>
              <a:cs typeface="+mn-cs"/>
            </a:rPr>
            <a:t>≠ Average for no support </a:t>
          </a:r>
        </a:p>
        <a:p>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Two-taile</a:t>
          </a:r>
          <a:r>
            <a:rPr lang="en-US" sz="1100" b="0" i="0" u="none" strike="noStrike" baseline="0">
              <a:solidFill>
                <a:schemeClr val="dk1"/>
              </a:solidFill>
              <a:effectLst/>
              <a:latin typeface="+mn-lt"/>
              <a:ea typeface="+mn-ea"/>
              <a:cs typeface="+mn-cs"/>
            </a:rPr>
            <a:t>d p value= 0.0400</a:t>
          </a:r>
        </a:p>
        <a:p>
          <a:endParaRPr lang="en-US" sz="1100" b="0" i="0" u="none" strike="noStrike" baseline="0">
            <a:solidFill>
              <a:schemeClr val="dk1"/>
            </a:solidFill>
            <a:effectLst/>
            <a:latin typeface="+mn-lt"/>
            <a:ea typeface="+mn-ea"/>
            <a:cs typeface="+mn-cs"/>
          </a:endParaRPr>
        </a:p>
        <a:p>
          <a:r>
            <a:rPr lang="en-US" sz="1100" b="0" i="0" u="none" strike="noStrike" baseline="0">
              <a:solidFill>
                <a:schemeClr val="dk1"/>
              </a:solidFill>
              <a:effectLst/>
              <a:latin typeface="+mn-lt"/>
              <a:ea typeface="+mn-ea"/>
              <a:cs typeface="+mn-cs"/>
            </a:rPr>
            <a:t>We reject the null hypothesis because the p-value is less than alpha=0.05. We conclude that is significant evidence to conclude that grades are different between students who receive extra school support as opposed to students who don't. </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144229</xdr:colOff>
      <xdr:row>9</xdr:row>
      <xdr:rowOff>12645</xdr:rowOff>
    </xdr:from>
    <xdr:to>
      <xdr:col>11</xdr:col>
      <xdr:colOff>588728</xdr:colOff>
      <xdr:row>22</xdr:row>
      <xdr:rowOff>120207</xdr:rowOff>
    </xdr:to>
    <xdr:graphicFrame macro="">
      <xdr:nvGraphicFramePr>
        <xdr:cNvPr id="2" name="Chart 1">
          <a:extLst>
            <a:ext uri="{FF2B5EF4-FFF2-40B4-BE49-F238E27FC236}">
              <a16:creationId xmlns:a16="http://schemas.microsoft.com/office/drawing/2014/main" id="{079D90C7-C6FE-B049-8BD4-0A8FD0156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199291</xdr:colOff>
      <xdr:row>24</xdr:row>
      <xdr:rowOff>120217</xdr:rowOff>
    </xdr:from>
    <xdr:to>
      <xdr:col>11</xdr:col>
      <xdr:colOff>589361</xdr:colOff>
      <xdr:row>38</xdr:row>
      <xdr:rowOff>39606</xdr:rowOff>
    </xdr:to>
    <xdr:graphicFrame macro="">
      <xdr:nvGraphicFramePr>
        <xdr:cNvPr id="3" name="Chart 2">
          <a:extLst>
            <a:ext uri="{FF2B5EF4-FFF2-40B4-BE49-F238E27FC236}">
              <a16:creationId xmlns:a16="http://schemas.microsoft.com/office/drawing/2014/main" id="{4943E639-D39E-8849-9775-5F9605D64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2</xdr:row>
      <xdr:rowOff>113392</xdr:rowOff>
    </xdr:from>
    <xdr:to>
      <xdr:col>19</xdr:col>
      <xdr:colOff>446012</xdr:colOff>
      <xdr:row>15</xdr:row>
      <xdr:rowOff>82549</xdr:rowOff>
    </xdr:to>
    <xdr:sp macro="" textlink="">
      <xdr:nvSpPr>
        <xdr:cNvPr id="4" name="TextBox 3">
          <a:extLst>
            <a:ext uri="{FF2B5EF4-FFF2-40B4-BE49-F238E27FC236}">
              <a16:creationId xmlns:a16="http://schemas.microsoft.com/office/drawing/2014/main" id="{D9D3C75C-33A2-7C6A-2884-368AA1C41ADE}"/>
            </a:ext>
          </a:extLst>
        </xdr:cNvPr>
        <xdr:cNvSpPr txBox="1"/>
      </xdr:nvSpPr>
      <xdr:spPr>
        <a:xfrm>
          <a:off x="10566400" y="526142"/>
          <a:ext cx="5322812" cy="26171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-All</a:t>
          </a:r>
          <a:r>
            <a:rPr lang="en-US" sz="1100" baseline="0"/>
            <a:t> of the correlations between the X variables show weak correlations with the results of students' final grades.</a:t>
          </a:r>
        </a:p>
        <a:p>
          <a:endParaRPr lang="en-US" sz="1100" baseline="0"/>
        </a:p>
        <a:p>
          <a:r>
            <a:rPr lang="en-US" sz="1100" baseline="0"/>
            <a:t>-Study Time (r=0.228) has a weak positive correlation to Grade. This means that a student giving themselves more time to study can result in a higher grade.</a:t>
          </a:r>
        </a:p>
        <a:p>
          <a:endParaRPr lang="en-US" sz="1100" baseline="0"/>
        </a:p>
        <a:p>
          <a:r>
            <a:rPr lang="en-US" sz="1100" baseline="0"/>
            <a:t>-Failures (r=-0.418) has a weak negative correlation with Grade. This means that getting less failures can result in a higher grade.</a:t>
          </a:r>
        </a:p>
        <a:p>
          <a:endParaRPr lang="en-US" sz="1100" baseline="0"/>
        </a:p>
        <a:p>
          <a:r>
            <a:rPr lang="en-US" sz="1100" baseline="0"/>
            <a:t>-Absences (r=-0.125) has a weak negative correlation to Grade. This means that having less absenses can result in a higher grade.</a:t>
          </a:r>
        </a:p>
        <a:p>
          <a:endParaRPr lang="en-US" sz="1100" baseline="0"/>
        </a:p>
        <a:p>
          <a:r>
            <a:rPr lang="en-US" sz="1100" baseline="0"/>
            <a:t>-Alcohol (r=-0.221) has a weak negative correlation to Grade. This can mean that a student with less alcohol consumption can result in having a higher grade.</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6614</xdr:colOff>
      <xdr:row>1</xdr:row>
      <xdr:rowOff>158751</xdr:rowOff>
    </xdr:from>
    <xdr:to>
      <xdr:col>16</xdr:col>
      <xdr:colOff>601927</xdr:colOff>
      <xdr:row>6</xdr:row>
      <xdr:rowOff>85990</xdr:rowOff>
    </xdr:to>
    <xdr:sp macro="" textlink="">
      <xdr:nvSpPr>
        <xdr:cNvPr id="2" name="TextBox 1">
          <a:extLst>
            <a:ext uri="{FF2B5EF4-FFF2-40B4-BE49-F238E27FC236}">
              <a16:creationId xmlns:a16="http://schemas.microsoft.com/office/drawing/2014/main" id="{048BC46C-73E7-ADBA-F351-34E87FF1A6AE}"/>
            </a:ext>
          </a:extLst>
        </xdr:cNvPr>
        <xdr:cNvSpPr txBox="1"/>
      </xdr:nvSpPr>
      <xdr:spPr>
        <a:xfrm>
          <a:off x="8169010" y="363803"/>
          <a:ext cx="4564063" cy="952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a:t>Transformed</a:t>
          </a:r>
          <a:r>
            <a:rPr lang="en-US" sz="1300" baseline="0"/>
            <a:t> three categorical variables into dummy variables.</a:t>
          </a:r>
        </a:p>
        <a:p>
          <a:r>
            <a:rPr lang="en-US" sz="1300" baseline="0"/>
            <a:t>-Extracurriculars (Yes, No): Extracurriculars (Yes=1, No=0).</a:t>
          </a:r>
        </a:p>
        <a:p>
          <a:r>
            <a:rPr lang="en-US" sz="1300" baseline="0"/>
            <a:t>-School Support (Yes, No): School Support (Yes=1, No=0).</a:t>
          </a:r>
        </a:p>
        <a:p>
          <a:r>
            <a:rPr lang="en-US" sz="1300" baseline="0"/>
            <a:t>-College (Yes, No): College (Yes=1, No=0).</a:t>
          </a:r>
          <a:endParaRPr lang="en-US" sz="13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9</xdr:col>
      <xdr:colOff>279400</xdr:colOff>
      <xdr:row>1</xdr:row>
      <xdr:rowOff>63500</xdr:rowOff>
    </xdr:from>
    <xdr:to>
      <xdr:col>15</xdr:col>
      <xdr:colOff>279400</xdr:colOff>
      <xdr:row>11</xdr:row>
      <xdr:rowOff>63500</xdr:rowOff>
    </xdr:to>
    <xdr:graphicFrame macro="">
      <xdr:nvGraphicFramePr>
        <xdr:cNvPr id="2" name="Chart 1">
          <a:extLst>
            <a:ext uri="{FF2B5EF4-FFF2-40B4-BE49-F238E27FC236}">
              <a16:creationId xmlns:a16="http://schemas.microsoft.com/office/drawing/2014/main" id="{EDAB2459-A1EB-7749-ACE9-742FD98661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393700</xdr:colOff>
      <xdr:row>12</xdr:row>
      <xdr:rowOff>63500</xdr:rowOff>
    </xdr:from>
    <xdr:to>
      <xdr:col>15</xdr:col>
      <xdr:colOff>393700</xdr:colOff>
      <xdr:row>22</xdr:row>
      <xdr:rowOff>50800</xdr:rowOff>
    </xdr:to>
    <xdr:graphicFrame macro="">
      <xdr:nvGraphicFramePr>
        <xdr:cNvPr id="3" name="Chart 2">
          <a:extLst>
            <a:ext uri="{FF2B5EF4-FFF2-40B4-BE49-F238E27FC236}">
              <a16:creationId xmlns:a16="http://schemas.microsoft.com/office/drawing/2014/main" id="{CA7EBDAB-E3AE-394F-B2FD-8937D0B6A9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508000</xdr:colOff>
      <xdr:row>0</xdr:row>
      <xdr:rowOff>76200</xdr:rowOff>
    </xdr:from>
    <xdr:to>
      <xdr:col>20</xdr:col>
      <xdr:colOff>419100</xdr:colOff>
      <xdr:row>13</xdr:row>
      <xdr:rowOff>38100</xdr:rowOff>
    </xdr:to>
    <xdr:sp macro="" textlink="">
      <xdr:nvSpPr>
        <xdr:cNvPr id="4" name="TextBox 3">
          <a:extLst>
            <a:ext uri="{FF2B5EF4-FFF2-40B4-BE49-F238E27FC236}">
              <a16:creationId xmlns:a16="http://schemas.microsoft.com/office/drawing/2014/main" id="{276CFE8E-E109-5140-1B36-F8B706EFDA9E}"/>
            </a:ext>
          </a:extLst>
        </xdr:cNvPr>
        <xdr:cNvSpPr txBox="1"/>
      </xdr:nvSpPr>
      <xdr:spPr>
        <a:xfrm>
          <a:off x="12890500" y="76200"/>
          <a:ext cx="4038600" cy="2641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a:t>Variable residual plots show mild violations of the normality assumption because the errors are not perfectly centered on 0. Residuals in this model range from about –12 to +6.</a:t>
          </a:r>
        </a:p>
        <a:p>
          <a:pPr marL="0" marR="0" indent="0" defTabSz="914400" eaLnBrk="1" fontAlgn="auto" latinLnBrk="0" hangingPunct="1">
            <a:lnSpc>
              <a:spcPct val="100000"/>
            </a:lnSpc>
            <a:spcBef>
              <a:spcPts val="0"/>
            </a:spcBef>
            <a:spcAft>
              <a:spcPts val="0"/>
            </a:spcAft>
            <a:buClrTx/>
            <a:buSzTx/>
            <a:buFontTx/>
            <a:buNone/>
            <a:tabLst/>
            <a:defRPr/>
          </a:pPr>
          <a:endParaRPr lang="en-US" sz="1100"/>
        </a:p>
        <a:p>
          <a:pPr marL="0" marR="0" indent="0" defTabSz="914400" eaLnBrk="1" fontAlgn="auto" latinLnBrk="0" hangingPunct="1">
            <a:lnSpc>
              <a:spcPct val="100000"/>
            </a:lnSpc>
            <a:spcBef>
              <a:spcPts val="0"/>
            </a:spcBef>
            <a:spcAft>
              <a:spcPts val="0"/>
            </a:spcAft>
            <a:buClrTx/>
            <a:buSzTx/>
            <a:buFontTx/>
            <a:buNone/>
            <a:tabLst/>
            <a:defRPr/>
          </a:pPr>
          <a:r>
            <a:rPr lang="en-US" sz="1100"/>
            <a:t>The largest negative</a:t>
          </a:r>
          <a:r>
            <a:rPr lang="en-US" sz="1100" baseline="0"/>
            <a:t> error occur beacuse the model over-predicted grades for a few student whose actual grades were much lower than expected. For example, some students had predicted grades around 12.5 but recived score close to 0, which created large negative residuals (residual= -12). </a:t>
          </a:r>
        </a:p>
        <a:p>
          <a:pPr marL="0" marR="0" indent="0" defTabSz="914400" eaLnBrk="1" fontAlgn="auto" latinLnBrk="0" hangingPunct="1">
            <a:lnSpc>
              <a:spcPct val="100000"/>
            </a:lnSpc>
            <a:spcBef>
              <a:spcPts val="0"/>
            </a:spcBef>
            <a:spcAft>
              <a:spcPts val="0"/>
            </a:spcAft>
            <a:buClrTx/>
            <a:buSzTx/>
            <a:buFontTx/>
            <a:buNone/>
            <a:tabLst/>
            <a:defRPr/>
          </a:pPr>
          <a:endParaRPr lang="en-US" sz="1100" baseline="0"/>
        </a:p>
        <a:p>
          <a:pPr marL="0" marR="0" indent="0" defTabSz="914400" eaLnBrk="1" fontAlgn="auto" latinLnBrk="0" hangingPunct="1">
            <a:lnSpc>
              <a:spcPct val="100000"/>
            </a:lnSpc>
            <a:spcBef>
              <a:spcPts val="0"/>
            </a:spcBef>
            <a:spcAft>
              <a:spcPts val="0"/>
            </a:spcAft>
            <a:buClrTx/>
            <a:buSzTx/>
            <a:buFontTx/>
            <a:buNone/>
            <a:tabLst/>
            <a:defRPr/>
          </a:pPr>
          <a:r>
            <a:rPr lang="en-US" sz="1100" baseline="0"/>
            <a:t>Since the outliers are legitimate data points and not input errors, they were not removed from the data set. if the regression was run again without the exterme cases, the residuals would appear more tightly around 0 and would take on a normal distrbuiton. </a:t>
          </a:r>
          <a:endParaRPr lang="en-US" sz="1100"/>
        </a:p>
      </xdr:txBody>
    </xdr:sp>
    <xdr:clientData/>
  </xdr:twoCellAnchor>
  <xdr:twoCellAnchor>
    <xdr:from>
      <xdr:col>15</xdr:col>
      <xdr:colOff>533400</xdr:colOff>
      <xdr:row>13</xdr:row>
      <xdr:rowOff>152400</xdr:rowOff>
    </xdr:from>
    <xdr:to>
      <xdr:col>20</xdr:col>
      <xdr:colOff>457200</xdr:colOff>
      <xdr:row>26</xdr:row>
      <xdr:rowOff>50800</xdr:rowOff>
    </xdr:to>
    <xdr:sp macro="" textlink="">
      <xdr:nvSpPr>
        <xdr:cNvPr id="5" name="TextBox 4">
          <a:extLst>
            <a:ext uri="{FF2B5EF4-FFF2-40B4-BE49-F238E27FC236}">
              <a16:creationId xmlns:a16="http://schemas.microsoft.com/office/drawing/2014/main" id="{42D4BF3A-14FB-5F98-DD0E-1B1A49FA798D}"/>
            </a:ext>
          </a:extLst>
        </xdr:cNvPr>
        <xdr:cNvSpPr txBox="1"/>
      </xdr:nvSpPr>
      <xdr:spPr>
        <a:xfrm>
          <a:off x="12915900" y="2832100"/>
          <a:ext cx="4051300" cy="2590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Variable</a:t>
          </a:r>
          <a:r>
            <a:rPr lang="en-US" sz="1100" baseline="0"/>
            <a:t> residual plots show minor violations of equal variance assumption: </a:t>
          </a:r>
        </a:p>
        <a:p>
          <a:r>
            <a:rPr lang="en-US" sz="1100" baseline="0"/>
            <a:t>the residual plot shows that most errors fall within a narrow band, but a few have very large negative residuals (-12) These extreme values cause the left side of the plot to appear wider than the right side. </a:t>
          </a:r>
        </a:p>
        <a:p>
          <a:r>
            <a:rPr lang="en-US" sz="1100" baseline="0"/>
            <a:t>Most predicted grades fall between 9.5 and 12.5 and within that range the residuals stay close to zero. With a small number of underperforming students, it creates a spread of errors. </a:t>
          </a:r>
        </a:p>
        <a:p>
          <a:endParaRPr lang="en-US" sz="1100" baseline="0"/>
        </a:p>
        <a:p>
          <a:r>
            <a:rPr lang="en-US" sz="1100" baseline="0"/>
            <a:t>These errors are driven by students whose outcomes are not well explained by the variables in the model. Its not suprising beacuse student performance is influenced by unmeasurable factors like motivation or personal circumstances. </a:t>
          </a:r>
        </a:p>
        <a:p>
          <a:endParaRPr lang="en-US" sz="1100" baseline="0"/>
        </a:p>
        <a:p>
          <a:r>
            <a:rPr lang="en-US" sz="1100" baseline="0"/>
            <a:t>Outlers were not removed beacuse they reflect real outcomes. </a:t>
          </a:r>
        </a:p>
      </xdr:txBody>
    </xdr:sp>
    <xdr:clientData/>
  </xdr:twoCellAnchor>
  <xdr:twoCellAnchor>
    <xdr:from>
      <xdr:col>14</xdr:col>
      <xdr:colOff>469900</xdr:colOff>
      <xdr:row>137</xdr:row>
      <xdr:rowOff>177800</xdr:rowOff>
    </xdr:from>
    <xdr:to>
      <xdr:col>20</xdr:col>
      <xdr:colOff>12700</xdr:colOff>
      <xdr:row>152</xdr:row>
      <xdr:rowOff>66040</xdr:rowOff>
    </xdr:to>
    <xdr:graphicFrame macro="">
      <xdr:nvGraphicFramePr>
        <xdr:cNvPr id="8" name="Chart 7">
          <a:extLst>
            <a:ext uri="{FF2B5EF4-FFF2-40B4-BE49-F238E27FC236}">
              <a16:creationId xmlns:a16="http://schemas.microsoft.com/office/drawing/2014/main" id="{D323C842-6CCC-4681-C842-DEBF132D28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584200</xdr:colOff>
      <xdr:row>43</xdr:row>
      <xdr:rowOff>101600</xdr:rowOff>
    </xdr:from>
    <xdr:to>
      <xdr:col>15</xdr:col>
      <xdr:colOff>818777</xdr:colOff>
      <xdr:row>71</xdr:row>
      <xdr:rowOff>101600</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6C0D7F54-D555-784D-A574-E80CDFDAEA5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273800" y="8883650"/>
              <a:ext cx="6730627" cy="56896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0</xdr:colOff>
      <xdr:row>46</xdr:row>
      <xdr:rowOff>0</xdr:rowOff>
    </xdr:from>
    <xdr:to>
      <xdr:col>29</xdr:col>
      <xdr:colOff>482600</xdr:colOff>
      <xdr:row>71</xdr:row>
      <xdr:rowOff>101600</xdr:rowOff>
    </xdr:to>
    <xdr:graphicFrame macro="">
      <xdr:nvGraphicFramePr>
        <xdr:cNvPr id="11" name="Chart 10">
          <a:extLst>
            <a:ext uri="{FF2B5EF4-FFF2-40B4-BE49-F238E27FC236}">
              <a16:creationId xmlns:a16="http://schemas.microsoft.com/office/drawing/2014/main" id="{F77614D8-F835-7D45-A28C-BCA453E4D3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304800</xdr:colOff>
      <xdr:row>43</xdr:row>
      <xdr:rowOff>25400</xdr:rowOff>
    </xdr:from>
    <xdr:to>
      <xdr:col>21</xdr:col>
      <xdr:colOff>254000</xdr:colOff>
      <xdr:row>61</xdr:row>
      <xdr:rowOff>74706</xdr:rowOff>
    </xdr:to>
    <xdr:sp macro="" textlink="">
      <xdr:nvSpPr>
        <xdr:cNvPr id="12" name="TextBox 11">
          <a:extLst>
            <a:ext uri="{FF2B5EF4-FFF2-40B4-BE49-F238E27FC236}">
              <a16:creationId xmlns:a16="http://schemas.microsoft.com/office/drawing/2014/main" id="{E4653680-9268-F2D5-487A-5E5114170675}"/>
            </a:ext>
          </a:extLst>
        </xdr:cNvPr>
        <xdr:cNvSpPr txBox="1"/>
      </xdr:nvSpPr>
      <xdr:spPr>
        <a:xfrm>
          <a:off x="13453035" y="8990106"/>
          <a:ext cx="4058024" cy="37472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Residuals show a left skewed distribution. most of the errors occur between -3 and 2 and</a:t>
          </a:r>
          <a:r>
            <a:rPr lang="en-US" sz="1100" baseline="0"/>
            <a:t> several residuals by -12.The chart over predicts the final grades beacuse the errors cluster on the negative side more. </a:t>
          </a:r>
        </a:p>
        <a:p>
          <a:endParaRPr lang="en-US" sz="1100" baseline="0"/>
        </a:p>
        <a:p>
          <a:r>
            <a:rPr lang="en-US" sz="1100" baseline="0"/>
            <a:t>Most errors fall close to , but the distribution has a long negative trail from the repeated risiduals around -12. the errors pull he distribution  from normality. </a:t>
          </a:r>
          <a:endParaRPr lang="en-US" sz="1100"/>
        </a:p>
      </xdr:txBody>
    </xdr:sp>
    <xdr:clientData/>
  </xdr:twoCellAnchor>
  <xdr:twoCellAnchor>
    <xdr:from>
      <xdr:col>30</xdr:col>
      <xdr:colOff>279400</xdr:colOff>
      <xdr:row>46</xdr:row>
      <xdr:rowOff>76201</xdr:rowOff>
    </xdr:from>
    <xdr:to>
      <xdr:col>35</xdr:col>
      <xdr:colOff>457200</xdr:colOff>
      <xdr:row>58</xdr:row>
      <xdr:rowOff>149412</xdr:rowOff>
    </xdr:to>
    <xdr:sp macro="" textlink="">
      <xdr:nvSpPr>
        <xdr:cNvPr id="13" name="TextBox 12">
          <a:extLst>
            <a:ext uri="{FF2B5EF4-FFF2-40B4-BE49-F238E27FC236}">
              <a16:creationId xmlns:a16="http://schemas.microsoft.com/office/drawing/2014/main" id="{4EEBB5FF-297B-1330-28A6-3E73460F5370}"/>
            </a:ext>
          </a:extLst>
        </xdr:cNvPr>
        <xdr:cNvSpPr txBox="1"/>
      </xdr:nvSpPr>
      <xdr:spPr>
        <a:xfrm>
          <a:off x="24932341" y="9657230"/>
          <a:ext cx="4286624" cy="25385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Predicted</a:t>
          </a:r>
          <a:r>
            <a:rPr lang="en-US" sz="1200" baseline="0"/>
            <a:t> vs  residual plot shows minior violations of regression. the residuals are not perfectly centered on 0, with many falling between -3 and -1 along with a few large negative ouliers like -12.  this shows that the model overpredicts some students final grade. </a:t>
          </a:r>
        </a:p>
        <a:p>
          <a:endParaRPr lang="en-US" sz="1200" baseline="0"/>
        </a:p>
        <a:p>
          <a:r>
            <a:rPr lang="en-US" sz="1200" baseline="0"/>
            <a:t>residuals form vertical clusters. most values are around 9.5 11.3 and 12.5 </a:t>
          </a:r>
        </a:p>
        <a:p>
          <a:endParaRPr lang="en-US" sz="1200" baseline="0"/>
        </a:p>
        <a:p>
          <a:r>
            <a:rPr lang="en-US" sz="1200" baseline="0"/>
            <a:t>the low R2  is explained by this model. the spread of errors are small but the outliers cause uneven variance across the values.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3</xdr:row>
      <xdr:rowOff>25400</xdr:rowOff>
    </xdr:from>
    <xdr:to>
      <xdr:col>11</xdr:col>
      <xdr:colOff>654050</xdr:colOff>
      <xdr:row>9</xdr:row>
      <xdr:rowOff>139700</xdr:rowOff>
    </xdr:to>
    <xdr:sp macro="" textlink="">
      <xdr:nvSpPr>
        <xdr:cNvPr id="2" name="TextBox 1">
          <a:extLst>
            <a:ext uri="{FF2B5EF4-FFF2-40B4-BE49-F238E27FC236}">
              <a16:creationId xmlns:a16="http://schemas.microsoft.com/office/drawing/2014/main" id="{DB75646E-F9CA-F830-3A45-CE705E622952}"/>
            </a:ext>
          </a:extLst>
        </xdr:cNvPr>
        <xdr:cNvSpPr txBox="1"/>
      </xdr:nvSpPr>
      <xdr:spPr>
        <a:xfrm>
          <a:off x="6330950" y="641350"/>
          <a:ext cx="4514850" cy="1339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i="1" u="sng"/>
            <a:t>Regression</a:t>
          </a:r>
          <a:r>
            <a:rPr lang="en-US" sz="1100" i="1" u="sng" baseline="0"/>
            <a:t> 1</a:t>
          </a:r>
        </a:p>
        <a:p>
          <a:endParaRPr lang="en-US" sz="1100" i="1" u="sng" baseline="0"/>
        </a:p>
        <a:p>
          <a:r>
            <a:rPr lang="en-US" sz="1100" i="0" u="none" baseline="0"/>
            <a:t>Grade ~ Study Time + Failures + Absences + Alcohol + Extracurriculars + School Support + College</a:t>
          </a:r>
        </a:p>
        <a:p>
          <a:endParaRPr lang="en-US" sz="1100" i="0" u="none" baseline="0"/>
        </a:p>
        <a:p>
          <a:r>
            <a:rPr lang="en-US" sz="1100" i="0" u="none" baseline="0"/>
            <a:t>Since Failures has the highest p-value of 0.817, we will be removing that in the next reggression.</a:t>
          </a:r>
        </a:p>
      </xdr:txBody>
    </xdr:sp>
    <xdr:clientData/>
  </xdr:twoCellAnchor>
  <xdr:twoCellAnchor>
    <xdr:from>
      <xdr:col>5</xdr:col>
      <xdr:colOff>920750</xdr:colOff>
      <xdr:row>31</xdr:row>
      <xdr:rowOff>196850</xdr:rowOff>
    </xdr:from>
    <xdr:to>
      <xdr:col>11</xdr:col>
      <xdr:colOff>654050</xdr:colOff>
      <xdr:row>38</xdr:row>
      <xdr:rowOff>120650</xdr:rowOff>
    </xdr:to>
    <xdr:sp macro="" textlink="">
      <xdr:nvSpPr>
        <xdr:cNvPr id="3" name="TextBox 2">
          <a:extLst>
            <a:ext uri="{FF2B5EF4-FFF2-40B4-BE49-F238E27FC236}">
              <a16:creationId xmlns:a16="http://schemas.microsoft.com/office/drawing/2014/main" id="{83A1BB41-F465-1A6C-8EA6-C599226AEE47}"/>
            </a:ext>
          </a:extLst>
        </xdr:cNvPr>
        <xdr:cNvSpPr txBox="1"/>
      </xdr:nvSpPr>
      <xdr:spPr>
        <a:xfrm>
          <a:off x="6311900" y="6540500"/>
          <a:ext cx="4533900" cy="1358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i="1" u="sng"/>
            <a:t>Regression 2</a:t>
          </a:r>
        </a:p>
        <a:p>
          <a:endParaRPr lang="en-US" sz="1100" i="1" u="sng"/>
        </a:p>
        <a:p>
          <a:r>
            <a:rPr lang="en-US" sz="1100" i="0" u="none"/>
            <a:t>Grade ~ Study Time</a:t>
          </a:r>
          <a:r>
            <a:rPr lang="en-US" sz="1100" i="0" u="none" baseline="0"/>
            <a:t> + Absences + Alcohol + Extracurriculars + School Support + College</a:t>
          </a:r>
        </a:p>
        <a:p>
          <a:endParaRPr lang="en-US" sz="1100" i="0" u="none" baseline="0"/>
        </a:p>
        <a:p>
          <a:r>
            <a:rPr lang="en-US" sz="1100" i="0" u="none" baseline="0"/>
            <a:t>Since Extracurriculars has the highest p-value of 0.635, we will be removing it in the next regression.</a:t>
          </a:r>
          <a:endParaRPr lang="en-US" sz="1100" i="0" u="none"/>
        </a:p>
      </xdr:txBody>
    </xdr:sp>
    <xdr:clientData/>
  </xdr:twoCellAnchor>
  <xdr:twoCellAnchor>
    <xdr:from>
      <xdr:col>5</xdr:col>
      <xdr:colOff>933450</xdr:colOff>
      <xdr:row>59</xdr:row>
      <xdr:rowOff>196850</xdr:rowOff>
    </xdr:from>
    <xdr:to>
      <xdr:col>11</xdr:col>
      <xdr:colOff>533400</xdr:colOff>
      <xdr:row>65</xdr:row>
      <xdr:rowOff>152400</xdr:rowOff>
    </xdr:to>
    <xdr:sp macro="" textlink="">
      <xdr:nvSpPr>
        <xdr:cNvPr id="4" name="TextBox 3">
          <a:extLst>
            <a:ext uri="{FF2B5EF4-FFF2-40B4-BE49-F238E27FC236}">
              <a16:creationId xmlns:a16="http://schemas.microsoft.com/office/drawing/2014/main" id="{C61C41BA-2701-C668-32D2-61C1E3F10C37}"/>
            </a:ext>
          </a:extLst>
        </xdr:cNvPr>
        <xdr:cNvSpPr txBox="1"/>
      </xdr:nvSpPr>
      <xdr:spPr>
        <a:xfrm>
          <a:off x="6324600" y="12268200"/>
          <a:ext cx="4400550" cy="1187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i="1" u="sng"/>
            <a:t>Regression 3</a:t>
          </a:r>
        </a:p>
        <a:p>
          <a:endParaRPr lang="en-US" sz="1100" i="1" u="sng"/>
        </a:p>
        <a:p>
          <a:r>
            <a:rPr lang="en-US" sz="1100" i="0" u="none"/>
            <a:t>Grade ~ Study Time + Absences</a:t>
          </a:r>
          <a:r>
            <a:rPr lang="en-US" sz="1100" i="0" u="none" baseline="0"/>
            <a:t> + Alcohol + School Support + College</a:t>
          </a:r>
        </a:p>
        <a:p>
          <a:endParaRPr lang="en-US" sz="1100" i="0" u="none" baseline="0"/>
        </a:p>
        <a:p>
          <a:r>
            <a:rPr lang="en-US" sz="1100" i="0" u="none" baseline="0"/>
            <a:t>Since Study Time has the highest p-value of 0.622, we will be removing it in the next reggresion.</a:t>
          </a:r>
          <a:endParaRPr lang="en-US" sz="1100" i="0" u="none"/>
        </a:p>
      </xdr:txBody>
    </xdr:sp>
    <xdr:clientData/>
  </xdr:twoCellAnchor>
  <xdr:twoCellAnchor>
    <xdr:from>
      <xdr:col>5</xdr:col>
      <xdr:colOff>933450</xdr:colOff>
      <xdr:row>85</xdr:row>
      <xdr:rowOff>171450</xdr:rowOff>
    </xdr:from>
    <xdr:to>
      <xdr:col>11</xdr:col>
      <xdr:colOff>285750</xdr:colOff>
      <xdr:row>91</xdr:row>
      <xdr:rowOff>82550</xdr:rowOff>
    </xdr:to>
    <xdr:sp macro="" textlink="">
      <xdr:nvSpPr>
        <xdr:cNvPr id="5" name="TextBox 4">
          <a:extLst>
            <a:ext uri="{FF2B5EF4-FFF2-40B4-BE49-F238E27FC236}">
              <a16:creationId xmlns:a16="http://schemas.microsoft.com/office/drawing/2014/main" id="{4DD90DD5-D5D3-B73C-DA61-263EF1A1A170}"/>
            </a:ext>
          </a:extLst>
        </xdr:cNvPr>
        <xdr:cNvSpPr txBox="1"/>
      </xdr:nvSpPr>
      <xdr:spPr>
        <a:xfrm>
          <a:off x="6324600" y="17564100"/>
          <a:ext cx="4152900" cy="1143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1" u="sng"/>
            <a:t>Regression 4</a:t>
          </a:r>
        </a:p>
        <a:p>
          <a:endParaRPr lang="en-US" sz="1100" b="0" i="1" u="sng"/>
        </a:p>
        <a:p>
          <a:r>
            <a:rPr lang="en-US" sz="1100" b="0" i="0" u="none"/>
            <a:t>Grade ~ Absences</a:t>
          </a:r>
          <a:r>
            <a:rPr lang="en-US" sz="1100" b="0" i="0" u="none" baseline="0"/>
            <a:t> + Alcohol + School Support + College</a:t>
          </a:r>
        </a:p>
        <a:p>
          <a:endParaRPr lang="en-US" sz="1100" b="0" i="0" u="none" baseline="0"/>
        </a:p>
        <a:p>
          <a:r>
            <a:rPr lang="en-US" sz="1100" b="0" i="0" u="none" baseline="0"/>
            <a:t>Since Alcohol has the highest p-value of 0.535, we will be removing it in the next reggression.</a:t>
          </a:r>
          <a:endParaRPr lang="en-US" sz="1100" b="0" i="0" u="none"/>
        </a:p>
      </xdr:txBody>
    </xdr:sp>
    <xdr:clientData/>
  </xdr:twoCellAnchor>
  <xdr:twoCellAnchor>
    <xdr:from>
      <xdr:col>6</xdr:col>
      <xdr:colOff>6350</xdr:colOff>
      <xdr:row>110</xdr:row>
      <xdr:rowOff>146050</xdr:rowOff>
    </xdr:from>
    <xdr:to>
      <xdr:col>11</xdr:col>
      <xdr:colOff>387350</xdr:colOff>
      <xdr:row>116</xdr:row>
      <xdr:rowOff>107950</xdr:rowOff>
    </xdr:to>
    <xdr:sp macro="" textlink="">
      <xdr:nvSpPr>
        <xdr:cNvPr id="6" name="TextBox 5">
          <a:extLst>
            <a:ext uri="{FF2B5EF4-FFF2-40B4-BE49-F238E27FC236}">
              <a16:creationId xmlns:a16="http://schemas.microsoft.com/office/drawing/2014/main" id="{7FB2A8C0-8EDC-3556-6906-2474D8410108}"/>
            </a:ext>
          </a:extLst>
        </xdr:cNvPr>
        <xdr:cNvSpPr txBox="1"/>
      </xdr:nvSpPr>
      <xdr:spPr>
        <a:xfrm>
          <a:off x="6337300" y="22656800"/>
          <a:ext cx="4241800" cy="1193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i="1" u="sng"/>
            <a:t>Regression</a:t>
          </a:r>
          <a:r>
            <a:rPr lang="en-US" sz="1100" i="1" u="sng" baseline="0"/>
            <a:t> 5</a:t>
          </a:r>
        </a:p>
        <a:p>
          <a:endParaRPr lang="en-US" sz="1100" i="1" u="sng" baseline="0"/>
        </a:p>
        <a:p>
          <a:r>
            <a:rPr lang="en-US" sz="1100" i="0" u="none" baseline="0"/>
            <a:t>Grade ~ Absences + School Support + College</a:t>
          </a:r>
        </a:p>
        <a:p>
          <a:endParaRPr lang="en-US" sz="1100" i="0" u="none" baseline="0"/>
        </a:p>
        <a:p>
          <a:r>
            <a:rPr lang="en-US" sz="1100" i="0" u="none" baseline="0"/>
            <a:t>Since Absences has the highest p-value of 0.248, we will be removing it in the next reggresion.</a:t>
          </a:r>
          <a:endParaRPr lang="en-US" sz="1100" i="0" u="none"/>
        </a:p>
      </xdr:txBody>
    </xdr:sp>
    <xdr:clientData/>
  </xdr:twoCellAnchor>
  <xdr:twoCellAnchor>
    <xdr:from>
      <xdr:col>8</xdr:col>
      <xdr:colOff>273050</xdr:colOff>
      <xdr:row>131</xdr:row>
      <xdr:rowOff>184150</xdr:rowOff>
    </xdr:from>
    <xdr:to>
      <xdr:col>15</xdr:col>
      <xdr:colOff>508000</xdr:colOff>
      <xdr:row>153</xdr:row>
      <xdr:rowOff>44450</xdr:rowOff>
    </xdr:to>
    <xdr:sp macro="" textlink="">
      <xdr:nvSpPr>
        <xdr:cNvPr id="7" name="TextBox 6">
          <a:extLst>
            <a:ext uri="{FF2B5EF4-FFF2-40B4-BE49-F238E27FC236}">
              <a16:creationId xmlns:a16="http://schemas.microsoft.com/office/drawing/2014/main" id="{76D35B4D-569D-9DEF-0AC8-7EBF9DFDFAF0}"/>
            </a:ext>
          </a:extLst>
        </xdr:cNvPr>
        <xdr:cNvSpPr txBox="1"/>
      </xdr:nvSpPr>
      <xdr:spPr>
        <a:xfrm>
          <a:off x="8483600" y="26993850"/>
          <a:ext cx="4857750" cy="4368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i="1" u="sng"/>
            <a:t>Final Regression</a:t>
          </a:r>
        </a:p>
        <a:p>
          <a:endParaRPr lang="en-US" sz="1100" i="1" u="sng"/>
        </a:p>
        <a:p>
          <a:r>
            <a:rPr lang="en-US" sz="1100" i="0" u="none"/>
            <a:t>Grade ~ School Support + College</a:t>
          </a:r>
        </a:p>
        <a:p>
          <a:endParaRPr lang="en-US" sz="1100" i="0" u="none"/>
        </a:p>
        <a:p>
          <a:r>
            <a:rPr lang="en-US" sz="1100" i="0" u="none"/>
            <a:t>Intercept=9.467.</a:t>
          </a:r>
          <a:r>
            <a:rPr lang="en-US" sz="1100" i="0" u="none" baseline="0"/>
            <a:t> Students that do not intend to go to college and have no school support will get a final grade of 9.47. P-value=5.81E-48</a:t>
          </a:r>
        </a:p>
        <a:p>
          <a:endParaRPr lang="en-US" sz="1100" i="0" u="none" baseline="0"/>
        </a:p>
        <a:p>
          <a:r>
            <a:rPr lang="en-US" sz="1100" i="0" u="none" baseline="0"/>
            <a:t>School Support=-1.14. In comparison with students that receive no school support, students with school supports' final grades will be 1.14 lower than someone with no school support. Interestingly enough, you would think that students who receive school support would have a higher grade. This could be a negative value because since it is extra support, perhaps the students receiving the help don't do very well in school, so their grades are lower. P-value=0.034</a:t>
          </a:r>
        </a:p>
        <a:p>
          <a:endParaRPr lang="en-US" sz="1100" i="0" u="none" baseline="0"/>
        </a:p>
        <a:p>
          <a:r>
            <a:rPr lang="en-US" sz="1100" i="0" u="none" baseline="0"/>
            <a:t>College=3.016. In comparison with students that do not intend to go to college, students that plan on going to colleges' final grades will be 3.016 higher than those who do not plan on attending. P-value=2.5E-07</a:t>
          </a:r>
        </a:p>
        <a:p>
          <a:endParaRPr lang="en-US" sz="1100" i="0" u="none" baseline="0"/>
        </a:p>
        <a:p>
          <a:r>
            <a:rPr lang="en-US" sz="1100" i="0" u="none" baseline="0"/>
            <a:t>F test p-value=5.823E-07. The proposed model with these variables is a significantly better fit than a model with only an intercept.</a:t>
          </a:r>
        </a:p>
        <a:p>
          <a:endParaRPr lang="en-US" sz="1100" i="0" u="none" baseline="0"/>
        </a:p>
        <a:p>
          <a:r>
            <a:rPr lang="en-US" sz="1100" i="0" u="none" baseline="0"/>
            <a:t>Adjusted R2=0.086. While the model is significant, it does not do a very good job of predicting what the final grades for students will be. There are many other factors that could influence grades, such as motivation for school or home life.</a:t>
          </a: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Boo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ow r="16">
          <cell r="G16" t="str">
            <v>Upper 95%</v>
          </cell>
        </row>
        <row r="17">
          <cell r="G17">
            <v>10.524945776039221</v>
          </cell>
        </row>
        <row r="18">
          <cell r="G18">
            <v>-8.9551300284429411E-2</v>
          </cell>
        </row>
        <row r="19">
          <cell r="G19">
            <v>4.1403116474587742</v>
          </cell>
        </row>
        <row r="26">
          <cell r="C26">
            <v>-1.3428571428571434</v>
          </cell>
        </row>
        <row r="27">
          <cell r="C27">
            <v>-12.482905982905983</v>
          </cell>
        </row>
        <row r="28">
          <cell r="C28">
            <v>0.51709401709401703</v>
          </cell>
        </row>
        <row r="29">
          <cell r="C29">
            <v>-1.482905982905983</v>
          </cell>
        </row>
        <row r="30">
          <cell r="C30">
            <v>-2.482905982905983</v>
          </cell>
        </row>
        <row r="31">
          <cell r="C31">
            <v>2.517094017094017</v>
          </cell>
        </row>
        <row r="32">
          <cell r="C32">
            <v>2.517094017094017</v>
          </cell>
        </row>
        <row r="33">
          <cell r="C33">
            <v>-0.48290598290598297</v>
          </cell>
        </row>
        <row r="34">
          <cell r="C34">
            <v>1.517094017094017</v>
          </cell>
        </row>
        <row r="35">
          <cell r="C35">
            <v>-0.48290598290598297</v>
          </cell>
        </row>
        <row r="36">
          <cell r="C36">
            <v>4.517094017094017</v>
          </cell>
        </row>
        <row r="37">
          <cell r="C37">
            <v>-12.482905982905983</v>
          </cell>
        </row>
        <row r="38">
          <cell r="C38">
            <v>0.53333333333333677</v>
          </cell>
        </row>
        <row r="39">
          <cell r="C39">
            <v>1.517094017094017</v>
          </cell>
        </row>
        <row r="40">
          <cell r="C40">
            <v>-5.482905982905983</v>
          </cell>
        </row>
        <row r="41">
          <cell r="C41">
            <v>2.517094017094017</v>
          </cell>
        </row>
        <row r="42">
          <cell r="C42">
            <v>-1.482905982905983</v>
          </cell>
        </row>
        <row r="43">
          <cell r="C43">
            <v>0.51709401709401703</v>
          </cell>
        </row>
        <row r="44">
          <cell r="C44">
            <v>-0.48290598290598297</v>
          </cell>
        </row>
        <row r="45">
          <cell r="C45">
            <v>-1.482905982905983</v>
          </cell>
        </row>
        <row r="46">
          <cell r="C46">
            <v>3.517094017094017</v>
          </cell>
        </row>
        <row r="47">
          <cell r="C47">
            <v>-0.48290598290598297</v>
          </cell>
        </row>
        <row r="48">
          <cell r="C48">
            <v>0.51709401709401703</v>
          </cell>
        </row>
        <row r="49">
          <cell r="C49">
            <v>-1.482905982905983</v>
          </cell>
        </row>
        <row r="50">
          <cell r="C50">
            <v>2.517094017094017</v>
          </cell>
        </row>
        <row r="51">
          <cell r="C51">
            <v>-4.482905982905983</v>
          </cell>
        </row>
        <row r="52">
          <cell r="C52">
            <v>-3.482905982905983</v>
          </cell>
        </row>
        <row r="53">
          <cell r="C53">
            <v>-1.3428571428571434</v>
          </cell>
        </row>
        <row r="54">
          <cell r="C54">
            <v>-2.3428571428571434</v>
          </cell>
        </row>
        <row r="55">
          <cell r="C55">
            <v>-0.48290598290598297</v>
          </cell>
        </row>
        <row r="56">
          <cell r="C56">
            <v>1.517094017094017</v>
          </cell>
        </row>
        <row r="57">
          <cell r="C57">
            <v>-0.34285714285714342</v>
          </cell>
        </row>
        <row r="58">
          <cell r="C58">
            <v>-0.46666666666666323</v>
          </cell>
        </row>
        <row r="59">
          <cell r="C59">
            <v>6.6571428571428566</v>
          </cell>
        </row>
        <row r="60">
          <cell r="C60">
            <v>-0.34285714285714342</v>
          </cell>
        </row>
        <row r="61">
          <cell r="C61">
            <v>3.517094017094017</v>
          </cell>
        </row>
        <row r="62">
          <cell r="C62">
            <v>-0.48290598290598297</v>
          </cell>
        </row>
        <row r="63">
          <cell r="C63">
            <v>0.51709401709401703</v>
          </cell>
        </row>
        <row r="64">
          <cell r="C64">
            <v>-2.482905982905983</v>
          </cell>
        </row>
        <row r="65">
          <cell r="C65">
            <v>-2.3428571428571434</v>
          </cell>
        </row>
        <row r="66">
          <cell r="C66">
            <v>4.5333333333333368</v>
          </cell>
        </row>
        <row r="67">
          <cell r="C67">
            <v>-0.46666666666666323</v>
          </cell>
        </row>
        <row r="68">
          <cell r="C68">
            <v>2.517094017094017</v>
          </cell>
        </row>
        <row r="69">
          <cell r="C69">
            <v>3.517094017094017</v>
          </cell>
        </row>
        <row r="70">
          <cell r="C70">
            <v>0.53333333333333677</v>
          </cell>
        </row>
        <row r="71">
          <cell r="C71">
            <v>-1.482905982905983</v>
          </cell>
        </row>
        <row r="72">
          <cell r="C72">
            <v>-1.3428571428571434</v>
          </cell>
        </row>
        <row r="73">
          <cell r="C73">
            <v>3.517094017094017</v>
          </cell>
        </row>
        <row r="74">
          <cell r="C74">
            <v>0.51709401709401703</v>
          </cell>
        </row>
        <row r="75">
          <cell r="C75">
            <v>-0.34285714285714342</v>
          </cell>
        </row>
        <row r="76">
          <cell r="C76">
            <v>4.517094017094017</v>
          </cell>
        </row>
        <row r="77">
          <cell r="C77">
            <v>4.517094017094017</v>
          </cell>
        </row>
        <row r="78">
          <cell r="C78">
            <v>-0.48290598290598297</v>
          </cell>
        </row>
        <row r="79">
          <cell r="C79">
            <v>2.517094017094017</v>
          </cell>
        </row>
        <row r="80">
          <cell r="C80">
            <v>1.517094017094017</v>
          </cell>
        </row>
        <row r="81">
          <cell r="C81">
            <v>-2.482905982905983</v>
          </cell>
        </row>
        <row r="82">
          <cell r="C82">
            <v>-2.482905982905983</v>
          </cell>
        </row>
        <row r="83">
          <cell r="C83">
            <v>0.51709401709401703</v>
          </cell>
        </row>
        <row r="84">
          <cell r="C84">
            <v>-1.3428571428571434</v>
          </cell>
        </row>
        <row r="85">
          <cell r="C85">
            <v>1.6571428571428566</v>
          </cell>
        </row>
        <row r="86">
          <cell r="C86">
            <v>-1.482905982905983</v>
          </cell>
        </row>
        <row r="87">
          <cell r="C87">
            <v>-1.482905982905983</v>
          </cell>
        </row>
        <row r="88">
          <cell r="C88">
            <v>-0.48290598290598297</v>
          </cell>
        </row>
        <row r="89">
          <cell r="C89">
            <v>-2.482905982905983</v>
          </cell>
        </row>
        <row r="90">
          <cell r="C90">
            <v>3.517094017094017</v>
          </cell>
        </row>
        <row r="91">
          <cell r="C91">
            <v>-2.482905982905983</v>
          </cell>
        </row>
        <row r="92">
          <cell r="C92">
            <v>-2.482905982905983</v>
          </cell>
        </row>
        <row r="93">
          <cell r="C93">
            <v>-1.482905982905983</v>
          </cell>
        </row>
        <row r="94">
          <cell r="C94">
            <v>3.517094017094017</v>
          </cell>
        </row>
        <row r="95">
          <cell r="C95">
            <v>-12.482905982905983</v>
          </cell>
        </row>
        <row r="96">
          <cell r="C96">
            <v>-2.482905982905983</v>
          </cell>
        </row>
        <row r="97">
          <cell r="C97">
            <v>2.517094017094017</v>
          </cell>
        </row>
        <row r="98">
          <cell r="C98">
            <v>3.517094017094017</v>
          </cell>
        </row>
        <row r="99">
          <cell r="C99">
            <v>-0.48290598290598297</v>
          </cell>
        </row>
        <row r="100">
          <cell r="C100">
            <v>-0.34285714285714342</v>
          </cell>
        </row>
        <row r="101">
          <cell r="C101">
            <v>-0.48290598290598297</v>
          </cell>
        </row>
        <row r="102">
          <cell r="C102">
            <v>0.65714285714285658</v>
          </cell>
        </row>
        <row r="103">
          <cell r="C103">
            <v>-0.48290598290598297</v>
          </cell>
        </row>
        <row r="104">
          <cell r="C104">
            <v>2.517094017094017</v>
          </cell>
        </row>
        <row r="105">
          <cell r="C105">
            <v>-0.48290598290598297</v>
          </cell>
        </row>
        <row r="106">
          <cell r="C106">
            <v>-3.3428571428571434</v>
          </cell>
        </row>
        <row r="107">
          <cell r="C107">
            <v>-1.482905982905983</v>
          </cell>
        </row>
        <row r="108">
          <cell r="C108">
            <v>-1.482905982905983</v>
          </cell>
        </row>
        <row r="109">
          <cell r="C109">
            <v>3.517094017094017</v>
          </cell>
        </row>
        <row r="110">
          <cell r="C110">
            <v>-0.48290598290598297</v>
          </cell>
        </row>
        <row r="111">
          <cell r="C111">
            <v>0.51709401709401703</v>
          </cell>
        </row>
        <row r="112">
          <cell r="C112">
            <v>0.51709401709401703</v>
          </cell>
        </row>
        <row r="113">
          <cell r="C113">
            <v>-0.46666666666666323</v>
          </cell>
        </row>
        <row r="114">
          <cell r="C114">
            <v>-4.482905982905983</v>
          </cell>
        </row>
        <row r="115">
          <cell r="C115">
            <v>-2.482905982905983</v>
          </cell>
        </row>
        <row r="116">
          <cell r="C116">
            <v>0.51709401709401703</v>
          </cell>
        </row>
        <row r="117">
          <cell r="C117">
            <v>-2.482905982905983</v>
          </cell>
        </row>
        <row r="118">
          <cell r="C118">
            <v>0.51709401709401703</v>
          </cell>
        </row>
        <row r="119">
          <cell r="C119">
            <v>3.517094017094017</v>
          </cell>
        </row>
        <row r="120">
          <cell r="C120">
            <v>0.51709401709401703</v>
          </cell>
        </row>
        <row r="121">
          <cell r="C121">
            <v>4.517094017094017</v>
          </cell>
        </row>
        <row r="122">
          <cell r="C122">
            <v>-2.482905982905983</v>
          </cell>
        </row>
        <row r="123">
          <cell r="C123">
            <v>0.51709401709401703</v>
          </cell>
        </row>
        <row r="124">
          <cell r="C124">
            <v>0.53333333333333677</v>
          </cell>
        </row>
        <row r="125">
          <cell r="C125">
            <v>0.53333333333333677</v>
          </cell>
        </row>
        <row r="126">
          <cell r="C126">
            <v>4.517094017094017</v>
          </cell>
        </row>
        <row r="127">
          <cell r="C127">
            <v>4.517094017094017</v>
          </cell>
        </row>
        <row r="128">
          <cell r="C128">
            <v>0.65714285714285658</v>
          </cell>
        </row>
        <row r="129">
          <cell r="C129">
            <v>-0.48290598290598297</v>
          </cell>
        </row>
        <row r="130">
          <cell r="C130">
            <v>2.517094017094017</v>
          </cell>
        </row>
        <row r="131">
          <cell r="C131">
            <v>-1.482905982905983</v>
          </cell>
        </row>
        <row r="132">
          <cell r="C132">
            <v>0.65714285714285658</v>
          </cell>
        </row>
        <row r="133">
          <cell r="C133">
            <v>1.517094017094017</v>
          </cell>
        </row>
        <row r="134">
          <cell r="C134">
            <v>-3.482905982905983</v>
          </cell>
        </row>
        <row r="135">
          <cell r="C135">
            <v>-0.48290598290598297</v>
          </cell>
        </row>
        <row r="136">
          <cell r="C136">
            <v>-0.48290598290598297</v>
          </cell>
        </row>
        <row r="137">
          <cell r="C137">
            <v>4.517094017094017</v>
          </cell>
        </row>
        <row r="138">
          <cell r="C138">
            <v>-4.482905982905983</v>
          </cell>
        </row>
        <row r="139">
          <cell r="C139">
            <v>-0.48290598290598297</v>
          </cell>
        </row>
        <row r="140">
          <cell r="C140">
            <v>-0.34285714285714342</v>
          </cell>
        </row>
        <row r="141">
          <cell r="C141">
            <v>-2.482905982905983</v>
          </cell>
        </row>
        <row r="142">
          <cell r="C142">
            <v>5.517094017094017</v>
          </cell>
        </row>
        <row r="143">
          <cell r="C143">
            <v>1.517094017094017</v>
          </cell>
        </row>
        <row r="144">
          <cell r="C144">
            <v>-0.48290598290598297</v>
          </cell>
        </row>
        <row r="145">
          <cell r="C145">
            <v>-1.482905982905983</v>
          </cell>
        </row>
        <row r="146">
          <cell r="C146">
            <v>4.517094017094017</v>
          </cell>
        </row>
        <row r="147">
          <cell r="C147">
            <v>-2.4666666666666632</v>
          </cell>
        </row>
        <row r="148">
          <cell r="C148">
            <v>-0.46666666666666323</v>
          </cell>
        </row>
        <row r="149">
          <cell r="C149">
            <v>2.6571428571428566</v>
          </cell>
        </row>
        <row r="150">
          <cell r="C150">
            <v>6.517094017094017</v>
          </cell>
        </row>
        <row r="151">
          <cell r="C151">
            <v>3.517094017094017</v>
          </cell>
        </row>
        <row r="152">
          <cell r="C152">
            <v>-2.482905982905983</v>
          </cell>
        </row>
        <row r="153">
          <cell r="C153">
            <v>-3.482905982905983</v>
          </cell>
        </row>
        <row r="154">
          <cell r="C154">
            <v>-4.482905982905983</v>
          </cell>
        </row>
        <row r="155">
          <cell r="C155">
            <v>0.51709401709401703</v>
          </cell>
        </row>
        <row r="156">
          <cell r="C156">
            <v>-0.48290598290598297</v>
          </cell>
        </row>
        <row r="157">
          <cell r="C157">
            <v>-2.482905982905983</v>
          </cell>
        </row>
        <row r="158">
          <cell r="C158">
            <v>2.517094017094017</v>
          </cell>
        </row>
        <row r="159">
          <cell r="C159">
            <v>1.517094017094017</v>
          </cell>
        </row>
        <row r="160">
          <cell r="C160">
            <v>-3.482905982905983</v>
          </cell>
        </row>
        <row r="161">
          <cell r="C161">
            <v>-1.482905982905983</v>
          </cell>
        </row>
        <row r="162">
          <cell r="C162">
            <v>-0.48290598290598297</v>
          </cell>
        </row>
        <row r="163">
          <cell r="C163">
            <v>5.517094017094017</v>
          </cell>
        </row>
        <row r="164">
          <cell r="C164">
            <v>5.517094017094017</v>
          </cell>
        </row>
        <row r="165">
          <cell r="C165">
            <v>2.517094017094017</v>
          </cell>
        </row>
        <row r="166">
          <cell r="C166">
            <v>4.517094017094017</v>
          </cell>
        </row>
        <row r="167">
          <cell r="C167">
            <v>-0.34285714285714342</v>
          </cell>
        </row>
        <row r="168">
          <cell r="C168">
            <v>1.517094017094017</v>
          </cell>
        </row>
        <row r="169">
          <cell r="C169">
            <v>-0.48290598290598297</v>
          </cell>
        </row>
        <row r="170">
          <cell r="C170">
            <v>1.517094017094017</v>
          </cell>
        </row>
        <row r="171">
          <cell r="C171">
            <v>-3.482905982905983</v>
          </cell>
        </row>
        <row r="172">
          <cell r="C172">
            <v>-3.4666666666666632</v>
          </cell>
        </row>
        <row r="173">
          <cell r="C173">
            <v>-1.482905982905983</v>
          </cell>
        </row>
        <row r="174">
          <cell r="C174">
            <v>0.53333333333333677</v>
          </cell>
        </row>
        <row r="175">
          <cell r="C175">
            <v>-4.482905982905983</v>
          </cell>
        </row>
        <row r="176">
          <cell r="C176">
            <v>0.65714285714285658</v>
          </cell>
        </row>
        <row r="177">
          <cell r="C177">
            <v>-2.482905982905983</v>
          </cell>
        </row>
        <row r="178">
          <cell r="C178">
            <v>2.6571428571428566</v>
          </cell>
        </row>
        <row r="179">
          <cell r="C179">
            <v>0.65714285714285658</v>
          </cell>
        </row>
        <row r="180">
          <cell r="C180">
            <v>-2.482905982905983</v>
          </cell>
        </row>
        <row r="181">
          <cell r="C181">
            <v>-4.482905982905983</v>
          </cell>
        </row>
        <row r="182">
          <cell r="C182">
            <v>-2.482905982905983</v>
          </cell>
        </row>
        <row r="183">
          <cell r="C183">
            <v>-2.482905982905983</v>
          </cell>
        </row>
        <row r="184">
          <cell r="C184">
            <v>2.517094017094017</v>
          </cell>
        </row>
        <row r="185">
          <cell r="C185">
            <v>0.53333333333333677</v>
          </cell>
        </row>
        <row r="186">
          <cell r="C186">
            <v>2.517094017094017</v>
          </cell>
        </row>
        <row r="187">
          <cell r="C187">
            <v>-2.482905982905983</v>
          </cell>
        </row>
        <row r="188">
          <cell r="C188">
            <v>0.51709401709401703</v>
          </cell>
        </row>
        <row r="189">
          <cell r="C189">
            <v>-0.48290598290598297</v>
          </cell>
        </row>
        <row r="190">
          <cell r="C190">
            <v>-0.48290598290598297</v>
          </cell>
        </row>
        <row r="191">
          <cell r="C191">
            <v>-4.482905982905983</v>
          </cell>
        </row>
        <row r="192">
          <cell r="C192">
            <v>-1.482905982905983</v>
          </cell>
        </row>
        <row r="193">
          <cell r="C193">
            <v>-2.482905982905983</v>
          </cell>
        </row>
        <row r="194">
          <cell r="C194">
            <v>-0.46666666666666323</v>
          </cell>
        </row>
        <row r="195">
          <cell r="C195">
            <v>-1.482905982905983</v>
          </cell>
        </row>
        <row r="196">
          <cell r="C196">
            <v>1.5333333333333368</v>
          </cell>
        </row>
        <row r="197">
          <cell r="C197">
            <v>0.51709401709401703</v>
          </cell>
        </row>
        <row r="198">
          <cell r="C198">
            <v>-0.34285714285714342</v>
          </cell>
        </row>
        <row r="199">
          <cell r="C199">
            <v>2.6571428571428566</v>
          </cell>
        </row>
        <row r="200">
          <cell r="C200">
            <v>1.5333333333333368</v>
          </cell>
        </row>
        <row r="201">
          <cell r="C201">
            <v>2.517094017094017</v>
          </cell>
        </row>
        <row r="202">
          <cell r="C202">
            <v>-0.34285714285714342</v>
          </cell>
        </row>
        <row r="203">
          <cell r="C203">
            <v>0.51709401709401703</v>
          </cell>
        </row>
        <row r="204">
          <cell r="C204">
            <v>-1.482905982905983</v>
          </cell>
        </row>
        <row r="205">
          <cell r="C205">
            <v>-2.482905982905983</v>
          </cell>
        </row>
        <row r="206">
          <cell r="C206">
            <v>5.517094017094017</v>
          </cell>
        </row>
        <row r="207">
          <cell r="C207">
            <v>0.51709401709401703</v>
          </cell>
        </row>
        <row r="208">
          <cell r="C208">
            <v>-0.34285714285714342</v>
          </cell>
        </row>
        <row r="209">
          <cell r="C209">
            <v>0.51709401709401703</v>
          </cell>
        </row>
        <row r="210">
          <cell r="C210">
            <v>2.517094017094017</v>
          </cell>
        </row>
        <row r="211">
          <cell r="C211">
            <v>0.51709401709401703</v>
          </cell>
        </row>
        <row r="212">
          <cell r="C212">
            <v>-5.482905982905983</v>
          </cell>
        </row>
        <row r="213">
          <cell r="C213">
            <v>2.517094017094017</v>
          </cell>
        </row>
        <row r="214">
          <cell r="C214">
            <v>1.517094017094017</v>
          </cell>
        </row>
        <row r="215">
          <cell r="C215">
            <v>1.517094017094017</v>
          </cell>
        </row>
        <row r="216">
          <cell r="C216">
            <v>-0.48290598290598297</v>
          </cell>
        </row>
        <row r="217">
          <cell r="C217">
            <v>3.517094017094017</v>
          </cell>
        </row>
        <row r="218">
          <cell r="C218">
            <v>5.517094017094017</v>
          </cell>
        </row>
        <row r="219">
          <cell r="C219">
            <v>-1.482905982905983</v>
          </cell>
        </row>
        <row r="220">
          <cell r="C220">
            <v>3.517094017094017</v>
          </cell>
        </row>
        <row r="221">
          <cell r="C221">
            <v>-0.48290598290598297</v>
          </cell>
        </row>
        <row r="222">
          <cell r="C222">
            <v>0.51709401709401703</v>
          </cell>
        </row>
        <row r="223">
          <cell r="C223">
            <v>2.517094017094017</v>
          </cell>
        </row>
        <row r="224">
          <cell r="C224">
            <v>-0.48290598290598297</v>
          </cell>
        </row>
        <row r="225">
          <cell r="C225">
            <v>-1.482905982905983</v>
          </cell>
        </row>
        <row r="226">
          <cell r="C226">
            <v>2.517094017094017</v>
          </cell>
        </row>
        <row r="227">
          <cell r="C227">
            <v>1.5333333333333368</v>
          </cell>
        </row>
        <row r="228">
          <cell r="C228">
            <v>-2.482905982905983</v>
          </cell>
        </row>
        <row r="229">
          <cell r="C229">
            <v>1.517094017094017</v>
          </cell>
        </row>
        <row r="230">
          <cell r="C230">
            <v>-4.482905982905983</v>
          </cell>
        </row>
        <row r="231">
          <cell r="C231">
            <v>5.517094017094017</v>
          </cell>
        </row>
        <row r="232">
          <cell r="C232">
            <v>2.517094017094017</v>
          </cell>
        </row>
        <row r="233">
          <cell r="C233">
            <v>-0.46666666666666323</v>
          </cell>
        </row>
        <row r="234">
          <cell r="C234">
            <v>1.6571428571428566</v>
          </cell>
        </row>
        <row r="235">
          <cell r="C235">
            <v>1.517094017094017</v>
          </cell>
        </row>
        <row r="236">
          <cell r="C236">
            <v>-0.48290598290598297</v>
          </cell>
        </row>
        <row r="237">
          <cell r="C237">
            <v>-1.482905982905983</v>
          </cell>
        </row>
        <row r="238">
          <cell r="C238">
            <v>-2.482905982905983</v>
          </cell>
        </row>
        <row r="239">
          <cell r="C239">
            <v>2.517094017094017</v>
          </cell>
        </row>
        <row r="240">
          <cell r="C240">
            <v>0.51709401709401703</v>
          </cell>
        </row>
        <row r="241">
          <cell r="C241">
            <v>0.53333333333333677</v>
          </cell>
        </row>
        <row r="242">
          <cell r="C242">
            <v>0.51709401709401703</v>
          </cell>
        </row>
        <row r="243">
          <cell r="C243">
            <v>3.517094017094017</v>
          </cell>
        </row>
        <row r="244">
          <cell r="C244">
            <v>-1.482905982905983</v>
          </cell>
        </row>
        <row r="245">
          <cell r="C245">
            <v>-12.482905982905983</v>
          </cell>
        </row>
        <row r="246">
          <cell r="C246">
            <v>-2.482905982905983</v>
          </cell>
        </row>
        <row r="247">
          <cell r="C247">
            <v>-1.4666666666666632</v>
          </cell>
        </row>
        <row r="248">
          <cell r="C248">
            <v>4.517094017094017</v>
          </cell>
        </row>
        <row r="249">
          <cell r="C249">
            <v>3.517094017094017</v>
          </cell>
        </row>
        <row r="250">
          <cell r="C250">
            <v>-1.482905982905983</v>
          </cell>
        </row>
        <row r="251">
          <cell r="C251">
            <v>2.517094017094017</v>
          </cell>
        </row>
        <row r="252">
          <cell r="C252">
            <v>-1.4666666666666632</v>
          </cell>
        </row>
        <row r="253">
          <cell r="C253">
            <v>-3.482905982905983</v>
          </cell>
        </row>
        <row r="254">
          <cell r="C254">
            <v>0.51709401709401703</v>
          </cell>
        </row>
        <row r="255">
          <cell r="C255">
            <v>4.517094017094017</v>
          </cell>
        </row>
        <row r="256">
          <cell r="C256">
            <v>3.5333333333333368</v>
          </cell>
        </row>
        <row r="257">
          <cell r="C257">
            <v>-1.482905982905983</v>
          </cell>
        </row>
        <row r="258">
          <cell r="C258">
            <v>-0.48290598290598297</v>
          </cell>
        </row>
        <row r="259">
          <cell r="C259">
            <v>4.517094017094017</v>
          </cell>
        </row>
        <row r="260">
          <cell r="C260">
            <v>-3.482905982905983</v>
          </cell>
        </row>
        <row r="261">
          <cell r="C261">
            <v>2.517094017094017</v>
          </cell>
        </row>
        <row r="262">
          <cell r="C262">
            <v>-1.4666666666666632</v>
          </cell>
        </row>
        <row r="263">
          <cell r="C263">
            <v>-2.482905982905983</v>
          </cell>
        </row>
        <row r="264">
          <cell r="C264">
            <v>2.517094017094017</v>
          </cell>
        </row>
        <row r="265">
          <cell r="C265">
            <v>-1.3428571428571434</v>
          </cell>
        </row>
        <row r="266">
          <cell r="C266">
            <v>-1.482905982905983</v>
          </cell>
        </row>
        <row r="267">
          <cell r="C267">
            <v>4.517094017094017</v>
          </cell>
        </row>
        <row r="268">
          <cell r="C268">
            <v>-2.482905982905983</v>
          </cell>
        </row>
        <row r="269">
          <cell r="C269">
            <v>-0.48290598290598297</v>
          </cell>
        </row>
        <row r="270">
          <cell r="C270">
            <v>-0.48290598290598297</v>
          </cell>
        </row>
        <row r="271">
          <cell r="C271">
            <v>1.517094017094017</v>
          </cell>
        </row>
        <row r="272">
          <cell r="C272">
            <v>-1.482905982905983</v>
          </cell>
        </row>
        <row r="273">
          <cell r="C273">
            <v>2.517094017094017</v>
          </cell>
        </row>
        <row r="274">
          <cell r="C274">
            <v>2.517094017094017</v>
          </cell>
        </row>
        <row r="275">
          <cell r="C275">
            <v>-4.482905982905983</v>
          </cell>
        </row>
        <row r="276">
          <cell r="C276">
            <v>-0.34285714285714342</v>
          </cell>
        </row>
        <row r="277">
          <cell r="C277">
            <v>-2.4666666666666632</v>
          </cell>
        </row>
        <row r="278">
          <cell r="C278">
            <v>1.517094017094017</v>
          </cell>
        </row>
        <row r="279">
          <cell r="C279">
            <v>-0.48290598290598297</v>
          </cell>
        </row>
        <row r="280">
          <cell r="C280">
            <v>-2.4666666666666632</v>
          </cell>
        </row>
        <row r="281">
          <cell r="C281">
            <v>0.51709401709401703</v>
          </cell>
        </row>
        <row r="282">
          <cell r="C282">
            <v>3.517094017094017</v>
          </cell>
        </row>
        <row r="283">
          <cell r="C283">
            <v>-3.3428571428571434</v>
          </cell>
        </row>
        <row r="284">
          <cell r="C284">
            <v>2.517094017094017</v>
          </cell>
        </row>
        <row r="285">
          <cell r="C285">
            <v>0.51709401709401703</v>
          </cell>
        </row>
        <row r="286">
          <cell r="C286">
            <v>1.517094017094017</v>
          </cell>
        </row>
        <row r="287">
          <cell r="C287">
            <v>2.517094017094017</v>
          </cell>
        </row>
        <row r="288">
          <cell r="C288">
            <v>1.5333333333333368</v>
          </cell>
        </row>
        <row r="289">
          <cell r="C289">
            <v>0.51709401709401703</v>
          </cell>
        </row>
        <row r="290">
          <cell r="C290">
            <v>-0.34285714285714342</v>
          </cell>
        </row>
        <row r="291">
          <cell r="C291">
            <v>-0.48290598290598297</v>
          </cell>
        </row>
        <row r="292">
          <cell r="C292">
            <v>3.517094017094017</v>
          </cell>
        </row>
        <row r="293">
          <cell r="C293">
            <v>0.51709401709401703</v>
          </cell>
        </row>
        <row r="294">
          <cell r="C294">
            <v>-3.482905982905983</v>
          </cell>
        </row>
        <row r="295">
          <cell r="C295">
            <v>-1.4666666666666632</v>
          </cell>
        </row>
        <row r="296">
          <cell r="C296">
            <v>1.6571428571428566</v>
          </cell>
        </row>
        <row r="297">
          <cell r="C297">
            <v>-1.482905982905983</v>
          </cell>
        </row>
        <row r="298">
          <cell r="C298">
            <v>-4.482905982905983</v>
          </cell>
        </row>
        <row r="299">
          <cell r="C299">
            <v>-1.482905982905983</v>
          </cell>
        </row>
        <row r="300">
          <cell r="C300">
            <v>-1.3428571428571434</v>
          </cell>
        </row>
        <row r="301">
          <cell r="C301">
            <v>1.517094017094017</v>
          </cell>
        </row>
        <row r="302">
          <cell r="C302">
            <v>3.517094017094017</v>
          </cell>
        </row>
        <row r="303">
          <cell r="C303">
            <v>-0.46666666666666323</v>
          </cell>
        </row>
        <row r="304">
          <cell r="C304">
            <v>0.53333333333333677</v>
          </cell>
        </row>
        <row r="305">
          <cell r="C305">
            <v>1.517094017094017</v>
          </cell>
        </row>
        <row r="306">
          <cell r="C306">
            <v>3.517094017094017</v>
          </cell>
        </row>
        <row r="307">
          <cell r="C307">
            <v>3.517094017094017</v>
          </cell>
        </row>
        <row r="308">
          <cell r="C308">
            <v>-4.482905982905983</v>
          </cell>
        </row>
        <row r="309">
          <cell r="C309">
            <v>-1.482905982905983</v>
          </cell>
        </row>
        <row r="310">
          <cell r="C310">
            <v>1.517094017094017</v>
          </cell>
        </row>
        <row r="311">
          <cell r="C311">
            <v>-2.482905982905983</v>
          </cell>
        </row>
        <row r="312">
          <cell r="C312">
            <v>1.5333333333333368</v>
          </cell>
        </row>
        <row r="313">
          <cell r="C313">
            <v>-1.482905982905983</v>
          </cell>
        </row>
        <row r="314">
          <cell r="C314">
            <v>1.517094017094017</v>
          </cell>
        </row>
        <row r="315">
          <cell r="C315">
            <v>1.517094017094017</v>
          </cell>
        </row>
        <row r="316">
          <cell r="C316">
            <v>1.6571428571428566</v>
          </cell>
        </row>
        <row r="317">
          <cell r="C317">
            <v>-0.48290598290598297</v>
          </cell>
        </row>
        <row r="318">
          <cell r="C318">
            <v>-1.3428571428571434</v>
          </cell>
        </row>
        <row r="319">
          <cell r="C319">
            <v>1.517094017094017</v>
          </cell>
        </row>
        <row r="320">
          <cell r="C320">
            <v>-0.48290598290598297</v>
          </cell>
        </row>
        <row r="321">
          <cell r="C321">
            <v>-1.482905982905983</v>
          </cell>
        </row>
        <row r="322">
          <cell r="C322">
            <v>-0.48290598290598297</v>
          </cell>
        </row>
        <row r="323">
          <cell r="C323">
            <v>-1.482905982905983</v>
          </cell>
        </row>
        <row r="324">
          <cell r="C324">
            <v>-12.482905982905983</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49.662227083332" createdVersion="8" refreshedVersion="8" minRefreshableVersion="3" recordCount="299" xr:uid="{DE205085-8F8A-4DCB-A6BB-01D96C8DD678}">
  <cacheSource type="worksheet">
    <worksheetSource ref="A1:H300" sheet="Edited Data"/>
  </cacheSource>
  <cacheFields count="8">
    <cacheField name="Extracurriculars" numFmtId="0">
      <sharedItems count="2">
        <s v="No"/>
        <s v="Yes"/>
      </sharedItems>
    </cacheField>
    <cacheField name="School Support" numFmtId="0">
      <sharedItems count="2">
        <s v="Yes"/>
        <s v="No"/>
      </sharedItems>
    </cacheField>
    <cacheField name="Study Time" numFmtId="0">
      <sharedItems containsSemiMixedTypes="0" containsString="0" containsNumber="1" minValue="0" maxValue="15" count="54">
        <n v="2.75"/>
        <n v="3.75"/>
        <n v="0.25"/>
        <n v="7.25"/>
        <n v="4"/>
        <n v="3"/>
        <n v="12.75"/>
        <n v="3.25"/>
        <n v="2.5"/>
        <n v="4.75"/>
        <n v="14.25"/>
        <n v="3.5"/>
        <n v="1.25"/>
        <n v="2.25"/>
        <n v="4.25"/>
        <n v="1.5"/>
        <n v="0.75"/>
        <n v="11.75"/>
        <n v="6"/>
        <n v="2"/>
        <n v="4.5"/>
        <n v="6.5"/>
        <n v="0.5"/>
        <n v="0"/>
        <n v="8.5"/>
        <n v="9.75"/>
        <n v="8.25"/>
        <n v="8.75"/>
        <n v="5.75"/>
        <n v="1"/>
        <n v="11"/>
        <n v="5.5"/>
        <n v="7.5"/>
        <n v="9"/>
        <n v="6.25"/>
        <n v="10"/>
        <n v="1.75"/>
        <n v="13"/>
        <n v="11.5"/>
        <n v="6.75"/>
        <n v="14.75"/>
        <n v="9.25"/>
        <n v="9.5"/>
        <n v="10.25"/>
        <n v="10.75"/>
        <n v="7.75"/>
        <n v="15"/>
        <n v="8"/>
        <n v="5.25"/>
        <n v="12"/>
        <n v="13.25"/>
        <n v="13.75"/>
        <n v="5"/>
        <n v="7"/>
      </sharedItems>
    </cacheField>
    <cacheField name="Failures" numFmtId="0">
      <sharedItems containsSemiMixedTypes="0" containsString="0" containsNumber="1" containsInteger="1" minValue="0" maxValue="3"/>
    </cacheField>
    <cacheField name="Absences" numFmtId="0">
      <sharedItems containsSemiMixedTypes="0" containsString="0" containsNumber="1" containsInteger="1" minValue="0" maxValue="26"/>
    </cacheField>
    <cacheField name="College" numFmtId="0">
      <sharedItems count="2">
        <s v="Yes"/>
        <s v="No"/>
      </sharedItems>
    </cacheField>
    <cacheField name="Alcohol" numFmtId="0">
      <sharedItems containsSemiMixedTypes="0" containsString="0" containsNumber="1" containsInteger="1" minValue="1" maxValue="5"/>
    </cacheField>
    <cacheField name="Grade" numFmtId="0">
      <sharedItems containsSemiMixedTypes="0" containsString="0" containsNumber="1" containsInteger="1" minValue="0" maxValue="19" count="15">
        <n v="10"/>
        <n v="0"/>
        <n v="13"/>
        <n v="11"/>
        <n v="15"/>
        <n v="12"/>
        <n v="14"/>
        <n v="17"/>
        <n v="7"/>
        <n v="16"/>
        <n v="8"/>
        <n v="9"/>
        <n v="18"/>
        <n v="19"/>
        <n v="6"/>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49.774687384263" createdVersion="8" refreshedVersion="8" minRefreshableVersion="3" recordCount="299" xr:uid="{834BAD66-169A-4E24-87D0-AD17CF601370}">
  <cacheSource type="worksheet">
    <worksheetSource ref="D1:D300" sheet="Edited Data"/>
  </cacheSource>
  <cacheFields count="1">
    <cacheField name="Failures" numFmtId="0">
      <sharedItems containsSemiMixedTypes="0" containsString="0" containsNumber="1" containsInteger="1" minValue="0" maxValue="3" count="4">
        <n v="1"/>
        <n v="0"/>
        <n v="2"/>
        <n v="3"/>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49.806389120371" createdVersion="8" refreshedVersion="8" minRefreshableVersion="3" recordCount="299" xr:uid="{E198750D-DF59-407A-A5A2-44FC672D6BDF}">
  <cacheSource type="worksheet">
    <worksheetSource ref="E1:E300" sheet="Edited Data"/>
  </cacheSource>
  <cacheFields count="1">
    <cacheField name="Absences" numFmtId="0">
      <sharedItems containsSemiMixedTypes="0" containsString="0" containsNumber="1" containsInteger="1" minValue="0" maxValue="26" count="17">
        <n v="4"/>
        <n v="0"/>
        <n v="2"/>
        <n v="6"/>
        <n v="3"/>
        <n v="8"/>
        <n v="12"/>
        <n v="10"/>
        <n v="5"/>
        <n v="9"/>
        <n v="11"/>
        <n v="15"/>
        <n v="14"/>
        <n v="16"/>
        <n v="7"/>
        <n v="1"/>
        <n v="26"/>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9">
  <r>
    <x v="0"/>
    <x v="0"/>
    <n v="2.75"/>
    <n v="1"/>
    <n v="4"/>
    <x v="0"/>
    <n v="2"/>
    <x v="0"/>
  </r>
  <r>
    <x v="1"/>
    <x v="1"/>
    <n v="3.75"/>
    <n v="0"/>
    <n v="0"/>
    <x v="0"/>
    <n v="1"/>
    <x v="1"/>
  </r>
  <r>
    <x v="0"/>
    <x v="1"/>
    <n v="0.25"/>
    <n v="0"/>
    <n v="0"/>
    <x v="0"/>
    <n v="3"/>
    <x v="2"/>
  </r>
  <r>
    <x v="1"/>
    <x v="1"/>
    <n v="2.75"/>
    <n v="0"/>
    <n v="0"/>
    <x v="0"/>
    <n v="1"/>
    <x v="3"/>
  </r>
  <r>
    <x v="1"/>
    <x v="1"/>
    <n v="0.25"/>
    <n v="0"/>
    <n v="2"/>
    <x v="0"/>
    <n v="3"/>
    <x v="0"/>
  </r>
  <r>
    <x v="0"/>
    <x v="1"/>
    <n v="3.75"/>
    <n v="0"/>
    <n v="0"/>
    <x v="0"/>
    <n v="2"/>
    <x v="4"/>
  </r>
  <r>
    <x v="1"/>
    <x v="1"/>
    <n v="7.25"/>
    <n v="0"/>
    <n v="0"/>
    <x v="0"/>
    <n v="2"/>
    <x v="4"/>
  </r>
  <r>
    <x v="1"/>
    <x v="1"/>
    <n v="4"/>
    <n v="0"/>
    <n v="4"/>
    <x v="0"/>
    <n v="5"/>
    <x v="5"/>
  </r>
  <r>
    <x v="1"/>
    <x v="1"/>
    <n v="3"/>
    <n v="0"/>
    <n v="0"/>
    <x v="0"/>
    <n v="1"/>
    <x v="6"/>
  </r>
  <r>
    <x v="1"/>
    <x v="1"/>
    <n v="12.75"/>
    <n v="0"/>
    <n v="2"/>
    <x v="0"/>
    <n v="1"/>
    <x v="5"/>
  </r>
  <r>
    <x v="1"/>
    <x v="1"/>
    <n v="3.25"/>
    <n v="0"/>
    <n v="6"/>
    <x v="0"/>
    <n v="2"/>
    <x v="7"/>
  </r>
  <r>
    <x v="1"/>
    <x v="1"/>
    <n v="2.5"/>
    <n v="0"/>
    <n v="0"/>
    <x v="0"/>
    <n v="4"/>
    <x v="1"/>
  </r>
  <r>
    <x v="1"/>
    <x v="1"/>
    <n v="0.25"/>
    <n v="0"/>
    <n v="3"/>
    <x v="1"/>
    <n v="2"/>
    <x v="0"/>
  </r>
  <r>
    <x v="0"/>
    <x v="1"/>
    <n v="4.75"/>
    <n v="0"/>
    <n v="8"/>
    <x v="0"/>
    <n v="1"/>
    <x v="6"/>
  </r>
  <r>
    <x v="1"/>
    <x v="1"/>
    <n v="3"/>
    <n v="2"/>
    <n v="3"/>
    <x v="0"/>
    <n v="2"/>
    <x v="8"/>
  </r>
  <r>
    <x v="0"/>
    <x v="1"/>
    <n v="14.25"/>
    <n v="0"/>
    <n v="6"/>
    <x v="0"/>
    <n v="2"/>
    <x v="4"/>
  </r>
  <r>
    <x v="0"/>
    <x v="1"/>
    <n v="3.5"/>
    <n v="0"/>
    <n v="0"/>
    <x v="0"/>
    <n v="1"/>
    <x v="3"/>
  </r>
  <r>
    <x v="0"/>
    <x v="1"/>
    <n v="2.5"/>
    <n v="0"/>
    <n v="0"/>
    <x v="0"/>
    <n v="1"/>
    <x v="2"/>
  </r>
  <r>
    <x v="0"/>
    <x v="1"/>
    <n v="1.25"/>
    <n v="0"/>
    <n v="4"/>
    <x v="0"/>
    <n v="1"/>
    <x v="5"/>
  </r>
  <r>
    <x v="0"/>
    <x v="1"/>
    <n v="1.25"/>
    <n v="0"/>
    <n v="0"/>
    <x v="0"/>
    <n v="2"/>
    <x v="3"/>
  </r>
  <r>
    <x v="0"/>
    <x v="1"/>
    <n v="2.25"/>
    <n v="0"/>
    <n v="0"/>
    <x v="0"/>
    <n v="1"/>
    <x v="9"/>
  </r>
  <r>
    <x v="0"/>
    <x v="1"/>
    <n v="4.25"/>
    <n v="0"/>
    <n v="4"/>
    <x v="0"/>
    <n v="1"/>
    <x v="5"/>
  </r>
  <r>
    <x v="1"/>
    <x v="1"/>
    <n v="3.75"/>
    <n v="0"/>
    <n v="2"/>
    <x v="0"/>
    <n v="1"/>
    <x v="2"/>
  </r>
  <r>
    <x v="0"/>
    <x v="1"/>
    <n v="1.5"/>
    <n v="1"/>
    <n v="12"/>
    <x v="0"/>
    <n v="1"/>
    <x v="3"/>
  </r>
  <r>
    <x v="0"/>
    <x v="1"/>
    <n v="4"/>
    <n v="0"/>
    <n v="8"/>
    <x v="0"/>
    <n v="1"/>
    <x v="4"/>
  </r>
  <r>
    <x v="1"/>
    <x v="1"/>
    <n v="3.75"/>
    <n v="1"/>
    <n v="3"/>
    <x v="0"/>
    <n v="1"/>
    <x v="10"/>
  </r>
  <r>
    <x v="1"/>
    <x v="1"/>
    <n v="0.75"/>
    <n v="1"/>
    <n v="2"/>
    <x v="0"/>
    <n v="1"/>
    <x v="11"/>
  </r>
  <r>
    <x v="0"/>
    <x v="0"/>
    <n v="11.75"/>
    <n v="0"/>
    <n v="10"/>
    <x v="0"/>
    <n v="1"/>
    <x v="0"/>
  </r>
  <r>
    <x v="0"/>
    <x v="0"/>
    <n v="6"/>
    <n v="0"/>
    <n v="2"/>
    <x v="0"/>
    <n v="1"/>
    <x v="11"/>
  </r>
  <r>
    <x v="0"/>
    <x v="1"/>
    <n v="2"/>
    <n v="0"/>
    <n v="4"/>
    <x v="0"/>
    <n v="2"/>
    <x v="5"/>
  </r>
  <r>
    <x v="1"/>
    <x v="1"/>
    <n v="4.5"/>
    <n v="0"/>
    <n v="0"/>
    <x v="0"/>
    <n v="2"/>
    <x v="6"/>
  </r>
  <r>
    <x v="0"/>
    <x v="0"/>
    <n v="3.5"/>
    <n v="0"/>
    <n v="2"/>
    <x v="0"/>
    <n v="3"/>
    <x v="3"/>
  </r>
  <r>
    <x v="0"/>
    <x v="1"/>
    <n v="1.25"/>
    <n v="0"/>
    <n v="0"/>
    <x v="1"/>
    <n v="2"/>
    <x v="11"/>
  </r>
  <r>
    <x v="0"/>
    <x v="0"/>
    <n v="2.5"/>
    <n v="0"/>
    <n v="0"/>
    <x v="0"/>
    <n v="2"/>
    <x v="12"/>
  </r>
  <r>
    <x v="0"/>
    <x v="0"/>
    <n v="4.25"/>
    <n v="0"/>
    <n v="0"/>
    <x v="0"/>
    <n v="2"/>
    <x v="3"/>
  </r>
  <r>
    <x v="1"/>
    <x v="1"/>
    <n v="2.75"/>
    <n v="0"/>
    <n v="4"/>
    <x v="0"/>
    <n v="1"/>
    <x v="9"/>
  </r>
  <r>
    <x v="1"/>
    <x v="1"/>
    <n v="6.5"/>
    <n v="0"/>
    <n v="2"/>
    <x v="0"/>
    <n v="1"/>
    <x v="5"/>
  </r>
  <r>
    <x v="0"/>
    <x v="1"/>
    <n v="3.5"/>
    <n v="0"/>
    <n v="0"/>
    <x v="0"/>
    <n v="1"/>
    <x v="2"/>
  </r>
  <r>
    <x v="1"/>
    <x v="1"/>
    <n v="0.5"/>
    <n v="0"/>
    <n v="5"/>
    <x v="0"/>
    <n v="4"/>
    <x v="0"/>
  </r>
  <r>
    <x v="0"/>
    <x v="0"/>
    <n v="0"/>
    <n v="0"/>
    <n v="2"/>
    <x v="0"/>
    <n v="3"/>
    <x v="11"/>
  </r>
  <r>
    <x v="0"/>
    <x v="1"/>
    <n v="0"/>
    <n v="0"/>
    <n v="4"/>
    <x v="1"/>
    <n v="3"/>
    <x v="6"/>
  </r>
  <r>
    <x v="1"/>
    <x v="1"/>
    <n v="8.5"/>
    <n v="1"/>
    <n v="6"/>
    <x v="1"/>
    <n v="1"/>
    <x v="11"/>
  </r>
  <r>
    <x v="1"/>
    <x v="1"/>
    <n v="8.5"/>
    <n v="0"/>
    <n v="0"/>
    <x v="0"/>
    <n v="1"/>
    <x v="4"/>
  </r>
  <r>
    <x v="1"/>
    <x v="1"/>
    <n v="3"/>
    <n v="0"/>
    <n v="8"/>
    <x v="0"/>
    <n v="1"/>
    <x v="9"/>
  </r>
  <r>
    <x v="1"/>
    <x v="1"/>
    <n v="0"/>
    <n v="0"/>
    <n v="4"/>
    <x v="1"/>
    <n v="1"/>
    <x v="0"/>
  </r>
  <r>
    <x v="0"/>
    <x v="1"/>
    <n v="2.25"/>
    <n v="0"/>
    <n v="5"/>
    <x v="0"/>
    <n v="2"/>
    <x v="3"/>
  </r>
  <r>
    <x v="0"/>
    <x v="0"/>
    <n v="3"/>
    <n v="0"/>
    <n v="10"/>
    <x v="0"/>
    <n v="1"/>
    <x v="0"/>
  </r>
  <r>
    <x v="0"/>
    <x v="1"/>
    <n v="9.75"/>
    <n v="0"/>
    <n v="0"/>
    <x v="0"/>
    <n v="1"/>
    <x v="9"/>
  </r>
  <r>
    <x v="0"/>
    <x v="1"/>
    <n v="2.5"/>
    <n v="0"/>
    <n v="2"/>
    <x v="0"/>
    <n v="2"/>
    <x v="2"/>
  </r>
  <r>
    <x v="0"/>
    <x v="0"/>
    <n v="4"/>
    <n v="0"/>
    <n v="0"/>
    <x v="0"/>
    <n v="1"/>
    <x v="3"/>
  </r>
  <r>
    <x v="0"/>
    <x v="1"/>
    <n v="0.5"/>
    <n v="0"/>
    <n v="0"/>
    <x v="0"/>
    <n v="2"/>
    <x v="7"/>
  </r>
  <r>
    <x v="1"/>
    <x v="1"/>
    <n v="0"/>
    <n v="0"/>
    <n v="2"/>
    <x v="0"/>
    <n v="1"/>
    <x v="7"/>
  </r>
  <r>
    <x v="0"/>
    <x v="1"/>
    <n v="8.25"/>
    <n v="0"/>
    <n v="0"/>
    <x v="0"/>
    <n v="2"/>
    <x v="5"/>
  </r>
  <r>
    <x v="1"/>
    <x v="1"/>
    <n v="0.25"/>
    <n v="0"/>
    <n v="8"/>
    <x v="0"/>
    <n v="3"/>
    <x v="4"/>
  </r>
  <r>
    <x v="0"/>
    <x v="1"/>
    <n v="8.75"/>
    <n v="0"/>
    <n v="8"/>
    <x v="0"/>
    <n v="2"/>
    <x v="6"/>
  </r>
  <r>
    <x v="1"/>
    <x v="1"/>
    <n v="0.75"/>
    <n v="0"/>
    <n v="0"/>
    <x v="0"/>
    <n v="1"/>
    <x v="0"/>
  </r>
  <r>
    <x v="0"/>
    <x v="1"/>
    <n v="3"/>
    <n v="0"/>
    <n v="8"/>
    <x v="0"/>
    <n v="2"/>
    <x v="0"/>
  </r>
  <r>
    <x v="0"/>
    <x v="1"/>
    <n v="0"/>
    <n v="0"/>
    <n v="2"/>
    <x v="0"/>
    <n v="2"/>
    <x v="2"/>
  </r>
  <r>
    <x v="1"/>
    <x v="0"/>
    <n v="5.75"/>
    <n v="0"/>
    <n v="2"/>
    <x v="0"/>
    <n v="1"/>
    <x v="0"/>
  </r>
  <r>
    <x v="1"/>
    <x v="0"/>
    <n v="2.5"/>
    <n v="0"/>
    <n v="0"/>
    <x v="0"/>
    <n v="2"/>
    <x v="2"/>
  </r>
  <r>
    <x v="1"/>
    <x v="1"/>
    <n v="0.5"/>
    <n v="0"/>
    <n v="4"/>
    <x v="0"/>
    <n v="2"/>
    <x v="3"/>
  </r>
  <r>
    <x v="1"/>
    <x v="1"/>
    <n v="0.5"/>
    <n v="0"/>
    <n v="0"/>
    <x v="0"/>
    <n v="1"/>
    <x v="3"/>
  </r>
  <r>
    <x v="1"/>
    <x v="1"/>
    <n v="3.5"/>
    <n v="0"/>
    <n v="0"/>
    <x v="0"/>
    <n v="1"/>
    <x v="5"/>
  </r>
  <r>
    <x v="0"/>
    <x v="1"/>
    <n v="4.25"/>
    <n v="0"/>
    <n v="0"/>
    <x v="0"/>
    <n v="1"/>
    <x v="0"/>
  </r>
  <r>
    <x v="1"/>
    <x v="1"/>
    <n v="2.25"/>
    <n v="0"/>
    <n v="0"/>
    <x v="0"/>
    <n v="1"/>
    <x v="9"/>
  </r>
  <r>
    <x v="0"/>
    <x v="1"/>
    <n v="1"/>
    <n v="0"/>
    <n v="0"/>
    <x v="0"/>
    <n v="1"/>
    <x v="0"/>
  </r>
  <r>
    <x v="0"/>
    <x v="1"/>
    <n v="1.25"/>
    <n v="0"/>
    <n v="2"/>
    <x v="0"/>
    <n v="2"/>
    <x v="0"/>
  </r>
  <r>
    <x v="1"/>
    <x v="1"/>
    <n v="1.5"/>
    <n v="0"/>
    <n v="8"/>
    <x v="0"/>
    <n v="3"/>
    <x v="3"/>
  </r>
  <r>
    <x v="1"/>
    <x v="1"/>
    <n v="11"/>
    <n v="0"/>
    <n v="10"/>
    <x v="0"/>
    <n v="2"/>
    <x v="9"/>
  </r>
  <r>
    <x v="1"/>
    <x v="1"/>
    <n v="0.25"/>
    <n v="1"/>
    <n v="0"/>
    <x v="0"/>
    <n v="2"/>
    <x v="1"/>
  </r>
  <r>
    <x v="0"/>
    <x v="1"/>
    <n v="3.25"/>
    <n v="3"/>
    <n v="9"/>
    <x v="0"/>
    <n v="5"/>
    <x v="0"/>
  </r>
  <r>
    <x v="1"/>
    <x v="1"/>
    <n v="4.25"/>
    <n v="0"/>
    <n v="10"/>
    <x v="0"/>
    <n v="2"/>
    <x v="4"/>
  </r>
  <r>
    <x v="1"/>
    <x v="1"/>
    <n v="3.25"/>
    <n v="0"/>
    <n v="8"/>
    <x v="0"/>
    <n v="1"/>
    <x v="9"/>
  </r>
  <r>
    <x v="0"/>
    <x v="1"/>
    <n v="2.25"/>
    <n v="0"/>
    <n v="0"/>
    <x v="0"/>
    <n v="1"/>
    <x v="5"/>
  </r>
  <r>
    <x v="1"/>
    <x v="0"/>
    <n v="2"/>
    <n v="0"/>
    <n v="4"/>
    <x v="0"/>
    <n v="1"/>
    <x v="3"/>
  </r>
  <r>
    <x v="1"/>
    <x v="1"/>
    <n v="1.5"/>
    <n v="0"/>
    <n v="11"/>
    <x v="0"/>
    <n v="1"/>
    <x v="5"/>
  </r>
  <r>
    <x v="1"/>
    <x v="0"/>
    <n v="5.5"/>
    <n v="0"/>
    <n v="2"/>
    <x v="0"/>
    <n v="1"/>
    <x v="5"/>
  </r>
  <r>
    <x v="0"/>
    <x v="1"/>
    <n v="3.25"/>
    <n v="0"/>
    <n v="15"/>
    <x v="0"/>
    <n v="4"/>
    <x v="5"/>
  </r>
  <r>
    <x v="1"/>
    <x v="1"/>
    <n v="4.75"/>
    <n v="0"/>
    <n v="0"/>
    <x v="0"/>
    <n v="1"/>
    <x v="4"/>
  </r>
  <r>
    <x v="1"/>
    <x v="1"/>
    <n v="0.5"/>
    <n v="0"/>
    <n v="2"/>
    <x v="0"/>
    <n v="3"/>
    <x v="5"/>
  </r>
  <r>
    <x v="0"/>
    <x v="0"/>
    <n v="2.75"/>
    <n v="3"/>
    <n v="0"/>
    <x v="0"/>
    <n v="1"/>
    <x v="10"/>
  </r>
  <r>
    <x v="1"/>
    <x v="1"/>
    <n v="5.75"/>
    <n v="0"/>
    <n v="10"/>
    <x v="0"/>
    <n v="4"/>
    <x v="3"/>
  </r>
  <r>
    <x v="0"/>
    <x v="1"/>
    <n v="1.25"/>
    <n v="0"/>
    <n v="4"/>
    <x v="0"/>
    <n v="1"/>
    <x v="3"/>
  </r>
  <r>
    <x v="1"/>
    <x v="1"/>
    <n v="3.75"/>
    <n v="0"/>
    <n v="0"/>
    <x v="0"/>
    <n v="5"/>
    <x v="9"/>
  </r>
  <r>
    <x v="0"/>
    <x v="1"/>
    <n v="2.5"/>
    <n v="0"/>
    <n v="0"/>
    <x v="0"/>
    <n v="1"/>
    <x v="5"/>
  </r>
  <r>
    <x v="1"/>
    <x v="1"/>
    <n v="3.5"/>
    <n v="0"/>
    <n v="2"/>
    <x v="0"/>
    <n v="1"/>
    <x v="2"/>
  </r>
  <r>
    <x v="1"/>
    <x v="1"/>
    <n v="9.75"/>
    <n v="0"/>
    <n v="0"/>
    <x v="0"/>
    <n v="2"/>
    <x v="2"/>
  </r>
  <r>
    <x v="1"/>
    <x v="1"/>
    <n v="0.25"/>
    <n v="3"/>
    <n v="4"/>
    <x v="1"/>
    <n v="2"/>
    <x v="11"/>
  </r>
  <r>
    <x v="0"/>
    <x v="1"/>
    <n v="3.75"/>
    <n v="2"/>
    <n v="2"/>
    <x v="0"/>
    <n v="1"/>
    <x v="10"/>
  </r>
  <r>
    <x v="1"/>
    <x v="1"/>
    <n v="1.5"/>
    <n v="0"/>
    <n v="0"/>
    <x v="0"/>
    <n v="2"/>
    <x v="0"/>
  </r>
  <r>
    <x v="1"/>
    <x v="1"/>
    <n v="14.25"/>
    <n v="0"/>
    <n v="6"/>
    <x v="0"/>
    <n v="1"/>
    <x v="2"/>
  </r>
  <r>
    <x v="0"/>
    <x v="1"/>
    <n v="2.25"/>
    <n v="0"/>
    <n v="10"/>
    <x v="0"/>
    <n v="3"/>
    <x v="0"/>
  </r>
  <r>
    <x v="0"/>
    <x v="1"/>
    <n v="3.75"/>
    <n v="0"/>
    <n v="0"/>
    <x v="0"/>
    <n v="1"/>
    <x v="2"/>
  </r>
  <r>
    <x v="0"/>
    <x v="1"/>
    <n v="4.25"/>
    <n v="0"/>
    <n v="0"/>
    <x v="0"/>
    <n v="2"/>
    <x v="9"/>
  </r>
  <r>
    <x v="0"/>
    <x v="1"/>
    <n v="4"/>
    <n v="0"/>
    <n v="6"/>
    <x v="0"/>
    <n v="2"/>
    <x v="2"/>
  </r>
  <r>
    <x v="0"/>
    <x v="1"/>
    <n v="7.5"/>
    <n v="0"/>
    <n v="0"/>
    <x v="0"/>
    <n v="2"/>
    <x v="7"/>
  </r>
  <r>
    <x v="0"/>
    <x v="1"/>
    <n v="0.75"/>
    <n v="0"/>
    <n v="0"/>
    <x v="0"/>
    <n v="1"/>
    <x v="0"/>
  </r>
  <r>
    <x v="0"/>
    <x v="1"/>
    <n v="9"/>
    <n v="0"/>
    <n v="0"/>
    <x v="0"/>
    <n v="2"/>
    <x v="2"/>
  </r>
  <r>
    <x v="1"/>
    <x v="1"/>
    <n v="0.25"/>
    <n v="1"/>
    <n v="0"/>
    <x v="1"/>
    <n v="3"/>
    <x v="0"/>
  </r>
  <r>
    <x v="0"/>
    <x v="1"/>
    <n v="2.25"/>
    <n v="0"/>
    <n v="12"/>
    <x v="1"/>
    <n v="1"/>
    <x v="0"/>
  </r>
  <r>
    <x v="1"/>
    <x v="1"/>
    <n v="3"/>
    <n v="0"/>
    <n v="2"/>
    <x v="0"/>
    <n v="2"/>
    <x v="7"/>
  </r>
  <r>
    <x v="0"/>
    <x v="1"/>
    <n v="6.25"/>
    <n v="0"/>
    <n v="4"/>
    <x v="0"/>
    <n v="1"/>
    <x v="7"/>
  </r>
  <r>
    <x v="1"/>
    <x v="0"/>
    <n v="0"/>
    <n v="0"/>
    <n v="8"/>
    <x v="0"/>
    <n v="1"/>
    <x v="5"/>
  </r>
  <r>
    <x v="0"/>
    <x v="1"/>
    <n v="1.25"/>
    <n v="0"/>
    <n v="2"/>
    <x v="0"/>
    <n v="2"/>
    <x v="5"/>
  </r>
  <r>
    <x v="0"/>
    <x v="1"/>
    <n v="1"/>
    <n v="0"/>
    <n v="8"/>
    <x v="0"/>
    <n v="2"/>
    <x v="4"/>
  </r>
  <r>
    <x v="0"/>
    <x v="1"/>
    <n v="0.5"/>
    <n v="0"/>
    <n v="4"/>
    <x v="0"/>
    <n v="3"/>
    <x v="3"/>
  </r>
  <r>
    <x v="1"/>
    <x v="0"/>
    <n v="0.5"/>
    <n v="0"/>
    <n v="0"/>
    <x v="0"/>
    <n v="2"/>
    <x v="5"/>
  </r>
  <r>
    <x v="1"/>
    <x v="1"/>
    <n v="8.75"/>
    <n v="0"/>
    <n v="0"/>
    <x v="0"/>
    <n v="1"/>
    <x v="6"/>
  </r>
  <r>
    <x v="0"/>
    <x v="1"/>
    <n v="1"/>
    <n v="1"/>
    <n v="0"/>
    <x v="0"/>
    <n v="1"/>
    <x v="11"/>
  </r>
  <r>
    <x v="0"/>
    <x v="1"/>
    <n v="0.75"/>
    <n v="0"/>
    <n v="0"/>
    <x v="0"/>
    <n v="1"/>
    <x v="5"/>
  </r>
  <r>
    <x v="1"/>
    <x v="1"/>
    <n v="4"/>
    <n v="0"/>
    <n v="0"/>
    <x v="0"/>
    <n v="1"/>
    <x v="5"/>
  </r>
  <r>
    <x v="0"/>
    <x v="1"/>
    <n v="10"/>
    <n v="0"/>
    <n v="0"/>
    <x v="0"/>
    <n v="1"/>
    <x v="7"/>
  </r>
  <r>
    <x v="0"/>
    <x v="1"/>
    <n v="6"/>
    <n v="1"/>
    <n v="14"/>
    <x v="0"/>
    <n v="3"/>
    <x v="10"/>
  </r>
  <r>
    <x v="1"/>
    <x v="1"/>
    <n v="3.25"/>
    <n v="0"/>
    <n v="16"/>
    <x v="0"/>
    <n v="3"/>
    <x v="5"/>
  </r>
  <r>
    <x v="1"/>
    <x v="0"/>
    <n v="0.25"/>
    <n v="0"/>
    <n v="6"/>
    <x v="0"/>
    <n v="1"/>
    <x v="3"/>
  </r>
  <r>
    <x v="1"/>
    <x v="1"/>
    <n v="1.75"/>
    <n v="1"/>
    <n v="4"/>
    <x v="0"/>
    <n v="3"/>
    <x v="0"/>
  </r>
  <r>
    <x v="0"/>
    <x v="1"/>
    <n v="5.5"/>
    <n v="0"/>
    <n v="0"/>
    <x v="0"/>
    <n v="1"/>
    <x v="12"/>
  </r>
  <r>
    <x v="1"/>
    <x v="1"/>
    <n v="2.75"/>
    <n v="0"/>
    <n v="0"/>
    <x v="0"/>
    <n v="3"/>
    <x v="6"/>
  </r>
  <r>
    <x v="0"/>
    <x v="1"/>
    <n v="0.75"/>
    <n v="0"/>
    <n v="6"/>
    <x v="0"/>
    <n v="2"/>
    <x v="5"/>
  </r>
  <r>
    <x v="0"/>
    <x v="1"/>
    <n v="3.5"/>
    <n v="1"/>
    <n v="2"/>
    <x v="0"/>
    <n v="1"/>
    <x v="3"/>
  </r>
  <r>
    <x v="1"/>
    <x v="1"/>
    <n v="7.5"/>
    <n v="0"/>
    <n v="6"/>
    <x v="0"/>
    <n v="1"/>
    <x v="7"/>
  </r>
  <r>
    <x v="0"/>
    <x v="1"/>
    <n v="1.25"/>
    <n v="0"/>
    <n v="8"/>
    <x v="1"/>
    <n v="3"/>
    <x v="8"/>
  </r>
  <r>
    <x v="1"/>
    <x v="1"/>
    <n v="2.5"/>
    <n v="0"/>
    <n v="0"/>
    <x v="1"/>
    <n v="2"/>
    <x v="11"/>
  </r>
  <r>
    <x v="1"/>
    <x v="0"/>
    <n v="2"/>
    <n v="0"/>
    <n v="2"/>
    <x v="0"/>
    <n v="1"/>
    <x v="6"/>
  </r>
  <r>
    <x v="0"/>
    <x v="1"/>
    <n v="13"/>
    <n v="0"/>
    <n v="0"/>
    <x v="0"/>
    <n v="1"/>
    <x v="13"/>
  </r>
  <r>
    <x v="1"/>
    <x v="1"/>
    <n v="4.75"/>
    <n v="0"/>
    <n v="6"/>
    <x v="0"/>
    <n v="3"/>
    <x v="9"/>
  </r>
  <r>
    <x v="0"/>
    <x v="1"/>
    <n v="0"/>
    <n v="1"/>
    <n v="4"/>
    <x v="0"/>
    <n v="3"/>
    <x v="0"/>
  </r>
  <r>
    <x v="0"/>
    <x v="1"/>
    <n v="2.5"/>
    <n v="1"/>
    <n v="4"/>
    <x v="0"/>
    <n v="1"/>
    <x v="11"/>
  </r>
  <r>
    <x v="1"/>
    <x v="1"/>
    <n v="1.5"/>
    <n v="0"/>
    <n v="6"/>
    <x v="0"/>
    <n v="3"/>
    <x v="10"/>
  </r>
  <r>
    <x v="1"/>
    <x v="1"/>
    <n v="1"/>
    <n v="0"/>
    <n v="4"/>
    <x v="0"/>
    <n v="1"/>
    <x v="2"/>
  </r>
  <r>
    <x v="1"/>
    <x v="1"/>
    <n v="11.5"/>
    <n v="0"/>
    <n v="0"/>
    <x v="0"/>
    <n v="5"/>
    <x v="5"/>
  </r>
  <r>
    <x v="0"/>
    <x v="1"/>
    <n v="4.5"/>
    <n v="1"/>
    <n v="0"/>
    <x v="0"/>
    <n v="1"/>
    <x v="0"/>
  </r>
  <r>
    <x v="0"/>
    <x v="1"/>
    <n v="2.25"/>
    <n v="0"/>
    <n v="0"/>
    <x v="0"/>
    <n v="2"/>
    <x v="4"/>
  </r>
  <r>
    <x v="0"/>
    <x v="1"/>
    <n v="4.25"/>
    <n v="0"/>
    <n v="4"/>
    <x v="0"/>
    <n v="1"/>
    <x v="6"/>
  </r>
  <r>
    <x v="0"/>
    <x v="1"/>
    <n v="3"/>
    <n v="0"/>
    <n v="0"/>
    <x v="0"/>
    <n v="3"/>
    <x v="11"/>
  </r>
  <r>
    <x v="1"/>
    <x v="1"/>
    <n v="1.75"/>
    <n v="0"/>
    <n v="4"/>
    <x v="0"/>
    <n v="5"/>
    <x v="3"/>
  </r>
  <r>
    <x v="1"/>
    <x v="1"/>
    <n v="6.75"/>
    <n v="0"/>
    <n v="12"/>
    <x v="0"/>
    <n v="1"/>
    <x v="5"/>
  </r>
  <r>
    <x v="0"/>
    <x v="1"/>
    <n v="8.5"/>
    <n v="0"/>
    <n v="0"/>
    <x v="0"/>
    <n v="1"/>
    <x v="12"/>
  </r>
  <r>
    <x v="1"/>
    <x v="1"/>
    <n v="3.5"/>
    <n v="0"/>
    <n v="0"/>
    <x v="0"/>
    <n v="1"/>
    <x v="12"/>
  </r>
  <r>
    <x v="1"/>
    <x v="1"/>
    <n v="0.75"/>
    <n v="0"/>
    <n v="4"/>
    <x v="0"/>
    <n v="1"/>
    <x v="4"/>
  </r>
  <r>
    <x v="1"/>
    <x v="1"/>
    <n v="2"/>
    <n v="0"/>
    <n v="0"/>
    <x v="0"/>
    <n v="1"/>
    <x v="7"/>
  </r>
  <r>
    <x v="1"/>
    <x v="0"/>
    <n v="4"/>
    <n v="0"/>
    <n v="0"/>
    <x v="0"/>
    <n v="1"/>
    <x v="3"/>
  </r>
  <r>
    <x v="1"/>
    <x v="1"/>
    <n v="1.25"/>
    <n v="0"/>
    <n v="0"/>
    <x v="0"/>
    <n v="2"/>
    <x v="6"/>
  </r>
  <r>
    <x v="1"/>
    <x v="1"/>
    <n v="1"/>
    <n v="0"/>
    <n v="2"/>
    <x v="0"/>
    <n v="2"/>
    <x v="5"/>
  </r>
  <r>
    <x v="0"/>
    <x v="1"/>
    <n v="2"/>
    <n v="0"/>
    <n v="0"/>
    <x v="0"/>
    <n v="1"/>
    <x v="6"/>
  </r>
  <r>
    <x v="1"/>
    <x v="1"/>
    <n v="0"/>
    <n v="0"/>
    <n v="4"/>
    <x v="0"/>
    <n v="2"/>
    <x v="11"/>
  </r>
  <r>
    <x v="0"/>
    <x v="1"/>
    <n v="0.5"/>
    <n v="2"/>
    <n v="4"/>
    <x v="1"/>
    <n v="3"/>
    <x v="14"/>
  </r>
  <r>
    <x v="1"/>
    <x v="1"/>
    <n v="4"/>
    <n v="0"/>
    <n v="0"/>
    <x v="0"/>
    <n v="1"/>
    <x v="3"/>
  </r>
  <r>
    <x v="0"/>
    <x v="1"/>
    <n v="0"/>
    <n v="1"/>
    <n v="0"/>
    <x v="1"/>
    <n v="1"/>
    <x v="0"/>
  </r>
  <r>
    <x v="0"/>
    <x v="1"/>
    <n v="4"/>
    <n v="0"/>
    <n v="4"/>
    <x v="0"/>
    <n v="1"/>
    <x v="10"/>
  </r>
  <r>
    <x v="1"/>
    <x v="0"/>
    <n v="4.75"/>
    <n v="0"/>
    <n v="0"/>
    <x v="0"/>
    <n v="3"/>
    <x v="5"/>
  </r>
  <r>
    <x v="1"/>
    <x v="1"/>
    <n v="1.25"/>
    <n v="0"/>
    <n v="0"/>
    <x v="0"/>
    <n v="3"/>
    <x v="0"/>
  </r>
  <r>
    <x v="0"/>
    <x v="0"/>
    <n v="2"/>
    <n v="0"/>
    <n v="0"/>
    <x v="0"/>
    <n v="1"/>
    <x v="6"/>
  </r>
  <r>
    <x v="0"/>
    <x v="0"/>
    <n v="4.75"/>
    <n v="0"/>
    <n v="6"/>
    <x v="0"/>
    <n v="2"/>
    <x v="5"/>
  </r>
  <r>
    <x v="1"/>
    <x v="1"/>
    <n v="1.25"/>
    <n v="1"/>
    <n v="6"/>
    <x v="0"/>
    <n v="4"/>
    <x v="0"/>
  </r>
  <r>
    <x v="1"/>
    <x v="1"/>
    <n v="0.25"/>
    <n v="3"/>
    <n v="2"/>
    <x v="0"/>
    <n v="2"/>
    <x v="10"/>
  </r>
  <r>
    <x v="0"/>
    <x v="1"/>
    <n v="4.5"/>
    <n v="0"/>
    <n v="16"/>
    <x v="0"/>
    <n v="3"/>
    <x v="0"/>
  </r>
  <r>
    <x v="1"/>
    <x v="1"/>
    <n v="8.5"/>
    <n v="1"/>
    <n v="4"/>
    <x v="0"/>
    <n v="1"/>
    <x v="0"/>
  </r>
  <r>
    <x v="0"/>
    <x v="1"/>
    <n v="14.75"/>
    <n v="0"/>
    <n v="4"/>
    <x v="0"/>
    <n v="1"/>
    <x v="4"/>
  </r>
  <r>
    <x v="1"/>
    <x v="1"/>
    <n v="0.75"/>
    <n v="0"/>
    <n v="0"/>
    <x v="1"/>
    <n v="4"/>
    <x v="0"/>
  </r>
  <r>
    <x v="1"/>
    <x v="1"/>
    <n v="0.5"/>
    <n v="0"/>
    <n v="6"/>
    <x v="0"/>
    <n v="1"/>
    <x v="4"/>
  </r>
  <r>
    <x v="1"/>
    <x v="1"/>
    <n v="3"/>
    <n v="0"/>
    <n v="16"/>
    <x v="0"/>
    <n v="1"/>
    <x v="0"/>
  </r>
  <r>
    <x v="0"/>
    <x v="1"/>
    <n v="0.75"/>
    <n v="0"/>
    <n v="0"/>
    <x v="0"/>
    <n v="1"/>
    <x v="2"/>
  </r>
  <r>
    <x v="1"/>
    <x v="1"/>
    <n v="4.25"/>
    <n v="0"/>
    <n v="8"/>
    <x v="0"/>
    <n v="1"/>
    <x v="5"/>
  </r>
  <r>
    <x v="1"/>
    <x v="1"/>
    <n v="8.25"/>
    <n v="0"/>
    <n v="0"/>
    <x v="0"/>
    <n v="1"/>
    <x v="5"/>
  </r>
  <r>
    <x v="0"/>
    <x v="1"/>
    <n v="0.5"/>
    <n v="1"/>
    <n v="14"/>
    <x v="0"/>
    <n v="1"/>
    <x v="10"/>
  </r>
  <r>
    <x v="0"/>
    <x v="1"/>
    <n v="0.75"/>
    <n v="0"/>
    <n v="8"/>
    <x v="0"/>
    <n v="5"/>
    <x v="3"/>
  </r>
  <r>
    <x v="1"/>
    <x v="1"/>
    <n v="4.25"/>
    <n v="0"/>
    <n v="4"/>
    <x v="0"/>
    <n v="1"/>
    <x v="0"/>
  </r>
  <r>
    <x v="1"/>
    <x v="1"/>
    <n v="0.75"/>
    <n v="0"/>
    <n v="8"/>
    <x v="1"/>
    <n v="5"/>
    <x v="11"/>
  </r>
  <r>
    <x v="0"/>
    <x v="1"/>
    <n v="9.25"/>
    <n v="0"/>
    <n v="10"/>
    <x v="0"/>
    <n v="2"/>
    <x v="3"/>
  </r>
  <r>
    <x v="0"/>
    <x v="1"/>
    <n v="2.25"/>
    <n v="2"/>
    <n v="0"/>
    <x v="1"/>
    <n v="1"/>
    <x v="3"/>
  </r>
  <r>
    <x v="0"/>
    <x v="1"/>
    <n v="0"/>
    <n v="0"/>
    <n v="0"/>
    <x v="0"/>
    <n v="2"/>
    <x v="2"/>
  </r>
  <r>
    <x v="0"/>
    <x v="0"/>
    <n v="9.5"/>
    <n v="0"/>
    <n v="0"/>
    <x v="0"/>
    <n v="1"/>
    <x v="3"/>
  </r>
  <r>
    <x v="1"/>
    <x v="0"/>
    <n v="10.25"/>
    <n v="0"/>
    <n v="0"/>
    <x v="0"/>
    <n v="1"/>
    <x v="6"/>
  </r>
  <r>
    <x v="1"/>
    <x v="1"/>
    <n v="10.75"/>
    <n v="0"/>
    <n v="4"/>
    <x v="1"/>
    <n v="1"/>
    <x v="3"/>
  </r>
  <r>
    <x v="1"/>
    <x v="1"/>
    <n v="0.75"/>
    <n v="0"/>
    <n v="7"/>
    <x v="0"/>
    <n v="1"/>
    <x v="4"/>
  </r>
  <r>
    <x v="1"/>
    <x v="0"/>
    <n v="7.75"/>
    <n v="0"/>
    <n v="4"/>
    <x v="0"/>
    <n v="1"/>
    <x v="3"/>
  </r>
  <r>
    <x v="1"/>
    <x v="1"/>
    <n v="1"/>
    <n v="0"/>
    <n v="6"/>
    <x v="0"/>
    <n v="2"/>
    <x v="2"/>
  </r>
  <r>
    <x v="0"/>
    <x v="1"/>
    <n v="2.75"/>
    <n v="0"/>
    <n v="2"/>
    <x v="0"/>
    <n v="1"/>
    <x v="3"/>
  </r>
  <r>
    <x v="0"/>
    <x v="1"/>
    <n v="1"/>
    <n v="0"/>
    <n v="0"/>
    <x v="0"/>
    <n v="2"/>
    <x v="0"/>
  </r>
  <r>
    <x v="0"/>
    <x v="1"/>
    <n v="3.25"/>
    <n v="0"/>
    <n v="0"/>
    <x v="0"/>
    <n v="1"/>
    <x v="12"/>
  </r>
  <r>
    <x v="0"/>
    <x v="1"/>
    <n v="15"/>
    <n v="0"/>
    <n v="1"/>
    <x v="0"/>
    <n v="2"/>
    <x v="2"/>
  </r>
  <r>
    <x v="1"/>
    <x v="0"/>
    <n v="2.75"/>
    <n v="0"/>
    <n v="2"/>
    <x v="0"/>
    <n v="4"/>
    <x v="3"/>
  </r>
  <r>
    <x v="0"/>
    <x v="1"/>
    <n v="3.25"/>
    <n v="0"/>
    <n v="0"/>
    <x v="0"/>
    <n v="3"/>
    <x v="2"/>
  </r>
  <r>
    <x v="1"/>
    <x v="1"/>
    <n v="8"/>
    <n v="0"/>
    <n v="4"/>
    <x v="0"/>
    <n v="2"/>
    <x v="4"/>
  </r>
  <r>
    <x v="1"/>
    <x v="1"/>
    <n v="2.5"/>
    <n v="0"/>
    <n v="0"/>
    <x v="0"/>
    <n v="1"/>
    <x v="2"/>
  </r>
  <r>
    <x v="0"/>
    <x v="1"/>
    <n v="0.5"/>
    <n v="0"/>
    <n v="2"/>
    <x v="0"/>
    <n v="2"/>
    <x v="8"/>
  </r>
  <r>
    <x v="1"/>
    <x v="1"/>
    <n v="3.5"/>
    <n v="0"/>
    <n v="0"/>
    <x v="0"/>
    <n v="1"/>
    <x v="4"/>
  </r>
  <r>
    <x v="1"/>
    <x v="1"/>
    <n v="4.25"/>
    <n v="0"/>
    <n v="6"/>
    <x v="0"/>
    <n v="2"/>
    <x v="6"/>
  </r>
  <r>
    <x v="0"/>
    <x v="1"/>
    <n v="1"/>
    <n v="0"/>
    <n v="1"/>
    <x v="0"/>
    <n v="1"/>
    <x v="6"/>
  </r>
  <r>
    <x v="1"/>
    <x v="1"/>
    <n v="4"/>
    <n v="0"/>
    <n v="0"/>
    <x v="0"/>
    <n v="1"/>
    <x v="5"/>
  </r>
  <r>
    <x v="0"/>
    <x v="1"/>
    <n v="3.75"/>
    <n v="0"/>
    <n v="4"/>
    <x v="0"/>
    <n v="1"/>
    <x v="9"/>
  </r>
  <r>
    <x v="0"/>
    <x v="1"/>
    <n v="0.25"/>
    <n v="0"/>
    <n v="10"/>
    <x v="0"/>
    <n v="1"/>
    <x v="12"/>
  </r>
  <r>
    <x v="1"/>
    <x v="1"/>
    <n v="1.75"/>
    <n v="0"/>
    <n v="6"/>
    <x v="0"/>
    <n v="3"/>
    <x v="3"/>
  </r>
  <r>
    <x v="1"/>
    <x v="1"/>
    <n v="4.25"/>
    <n v="0"/>
    <n v="4"/>
    <x v="0"/>
    <n v="1"/>
    <x v="9"/>
  </r>
  <r>
    <x v="1"/>
    <x v="1"/>
    <n v="3.75"/>
    <n v="0"/>
    <n v="0"/>
    <x v="0"/>
    <n v="1"/>
    <x v="5"/>
  </r>
  <r>
    <x v="1"/>
    <x v="1"/>
    <n v="5.25"/>
    <n v="0"/>
    <n v="0"/>
    <x v="0"/>
    <n v="1"/>
    <x v="2"/>
  </r>
  <r>
    <x v="1"/>
    <x v="1"/>
    <n v="4.75"/>
    <n v="0"/>
    <n v="0"/>
    <x v="0"/>
    <n v="1"/>
    <x v="4"/>
  </r>
  <r>
    <x v="1"/>
    <x v="1"/>
    <n v="4"/>
    <n v="0"/>
    <n v="2"/>
    <x v="0"/>
    <n v="2"/>
    <x v="5"/>
  </r>
  <r>
    <x v="1"/>
    <x v="1"/>
    <n v="1.75"/>
    <n v="0"/>
    <n v="2"/>
    <x v="0"/>
    <n v="3"/>
    <x v="3"/>
  </r>
  <r>
    <x v="0"/>
    <x v="1"/>
    <n v="6.75"/>
    <n v="0"/>
    <n v="0"/>
    <x v="0"/>
    <n v="2"/>
    <x v="4"/>
  </r>
  <r>
    <x v="0"/>
    <x v="1"/>
    <n v="1.5"/>
    <n v="0"/>
    <n v="11"/>
    <x v="1"/>
    <n v="2"/>
    <x v="3"/>
  </r>
  <r>
    <x v="0"/>
    <x v="1"/>
    <n v="3"/>
    <n v="0"/>
    <n v="0"/>
    <x v="0"/>
    <n v="3"/>
    <x v="0"/>
  </r>
  <r>
    <x v="0"/>
    <x v="1"/>
    <n v="1.75"/>
    <n v="0"/>
    <n v="4"/>
    <x v="0"/>
    <n v="1"/>
    <x v="6"/>
  </r>
  <r>
    <x v="0"/>
    <x v="1"/>
    <n v="4.5"/>
    <n v="1"/>
    <n v="8"/>
    <x v="0"/>
    <n v="2"/>
    <x v="10"/>
  </r>
  <r>
    <x v="0"/>
    <x v="1"/>
    <n v="9.5"/>
    <n v="0"/>
    <n v="0"/>
    <x v="0"/>
    <n v="1"/>
    <x v="12"/>
  </r>
  <r>
    <x v="1"/>
    <x v="1"/>
    <n v="3.25"/>
    <n v="0"/>
    <n v="4"/>
    <x v="0"/>
    <n v="1"/>
    <x v="4"/>
  </r>
  <r>
    <x v="1"/>
    <x v="1"/>
    <n v="1.5"/>
    <n v="1"/>
    <n v="8"/>
    <x v="1"/>
    <n v="2"/>
    <x v="11"/>
  </r>
  <r>
    <x v="1"/>
    <x v="0"/>
    <n v="12"/>
    <n v="0"/>
    <n v="4"/>
    <x v="0"/>
    <n v="1"/>
    <x v="2"/>
  </r>
  <r>
    <x v="1"/>
    <x v="1"/>
    <n v="1.75"/>
    <n v="0"/>
    <n v="0"/>
    <x v="0"/>
    <n v="4"/>
    <x v="6"/>
  </r>
  <r>
    <x v="0"/>
    <x v="1"/>
    <n v="1.75"/>
    <n v="0"/>
    <n v="4"/>
    <x v="0"/>
    <n v="1"/>
    <x v="5"/>
  </r>
  <r>
    <x v="1"/>
    <x v="1"/>
    <n v="4.75"/>
    <n v="0"/>
    <n v="0"/>
    <x v="0"/>
    <n v="1"/>
    <x v="3"/>
  </r>
  <r>
    <x v="1"/>
    <x v="1"/>
    <n v="1.75"/>
    <n v="0"/>
    <n v="4"/>
    <x v="0"/>
    <n v="1"/>
    <x v="0"/>
  </r>
  <r>
    <x v="1"/>
    <x v="1"/>
    <n v="4"/>
    <n v="0"/>
    <n v="0"/>
    <x v="0"/>
    <n v="1"/>
    <x v="4"/>
  </r>
  <r>
    <x v="1"/>
    <x v="1"/>
    <n v="6.5"/>
    <n v="0"/>
    <n v="2"/>
    <x v="0"/>
    <n v="1"/>
    <x v="2"/>
  </r>
  <r>
    <x v="0"/>
    <x v="1"/>
    <n v="9.5"/>
    <n v="2"/>
    <n v="6"/>
    <x v="1"/>
    <n v="1"/>
    <x v="0"/>
  </r>
  <r>
    <x v="0"/>
    <x v="1"/>
    <n v="4.75"/>
    <n v="0"/>
    <n v="6"/>
    <x v="0"/>
    <n v="1"/>
    <x v="2"/>
  </r>
  <r>
    <x v="1"/>
    <x v="1"/>
    <n v="2.5"/>
    <n v="0"/>
    <n v="2"/>
    <x v="0"/>
    <n v="1"/>
    <x v="9"/>
  </r>
  <r>
    <x v="0"/>
    <x v="1"/>
    <n v="4.75"/>
    <n v="0"/>
    <n v="6"/>
    <x v="0"/>
    <n v="3"/>
    <x v="3"/>
  </r>
  <r>
    <x v="0"/>
    <x v="1"/>
    <n v="0.75"/>
    <n v="1"/>
    <n v="0"/>
    <x v="0"/>
    <n v="2"/>
    <x v="1"/>
  </r>
  <r>
    <x v="1"/>
    <x v="1"/>
    <n v="4.75"/>
    <n v="0"/>
    <n v="0"/>
    <x v="0"/>
    <n v="1"/>
    <x v="0"/>
  </r>
  <r>
    <x v="1"/>
    <x v="1"/>
    <n v="0.5"/>
    <n v="1"/>
    <n v="26"/>
    <x v="1"/>
    <n v="2"/>
    <x v="10"/>
  </r>
  <r>
    <x v="0"/>
    <x v="1"/>
    <n v="2.75"/>
    <n v="0"/>
    <n v="0"/>
    <x v="0"/>
    <n v="1"/>
    <x v="7"/>
  </r>
  <r>
    <x v="0"/>
    <x v="1"/>
    <n v="0.75"/>
    <n v="0"/>
    <n v="0"/>
    <x v="0"/>
    <n v="1"/>
    <x v="9"/>
  </r>
  <r>
    <x v="0"/>
    <x v="1"/>
    <n v="3.5"/>
    <n v="0"/>
    <n v="0"/>
    <x v="0"/>
    <n v="1"/>
    <x v="3"/>
  </r>
  <r>
    <x v="1"/>
    <x v="1"/>
    <n v="2.5"/>
    <n v="0"/>
    <n v="8"/>
    <x v="0"/>
    <n v="2"/>
    <x v="4"/>
  </r>
  <r>
    <x v="0"/>
    <x v="1"/>
    <n v="8.5"/>
    <n v="0"/>
    <n v="5"/>
    <x v="1"/>
    <n v="2"/>
    <x v="10"/>
  </r>
  <r>
    <x v="0"/>
    <x v="1"/>
    <n v="3.25"/>
    <n v="0"/>
    <n v="4"/>
    <x v="0"/>
    <n v="3"/>
    <x v="11"/>
  </r>
  <r>
    <x v="0"/>
    <x v="1"/>
    <n v="2.25"/>
    <n v="0"/>
    <n v="0"/>
    <x v="0"/>
    <n v="1"/>
    <x v="2"/>
  </r>
  <r>
    <x v="0"/>
    <x v="1"/>
    <n v="3.5"/>
    <n v="0"/>
    <n v="14"/>
    <x v="0"/>
    <n v="1"/>
    <x v="7"/>
  </r>
  <r>
    <x v="1"/>
    <x v="1"/>
    <n v="0"/>
    <n v="0"/>
    <n v="0"/>
    <x v="1"/>
    <n v="1"/>
    <x v="2"/>
  </r>
  <r>
    <x v="0"/>
    <x v="1"/>
    <n v="2.5"/>
    <n v="0"/>
    <n v="6"/>
    <x v="0"/>
    <n v="1"/>
    <x v="3"/>
  </r>
  <r>
    <x v="0"/>
    <x v="1"/>
    <n v="3"/>
    <n v="0"/>
    <n v="2"/>
    <x v="0"/>
    <n v="2"/>
    <x v="5"/>
  </r>
  <r>
    <x v="0"/>
    <x v="1"/>
    <n v="1.5"/>
    <n v="0"/>
    <n v="6"/>
    <x v="0"/>
    <n v="1"/>
    <x v="7"/>
  </r>
  <r>
    <x v="1"/>
    <x v="1"/>
    <n v="3.5"/>
    <n v="0"/>
    <n v="6"/>
    <x v="0"/>
    <n v="1"/>
    <x v="11"/>
  </r>
  <r>
    <x v="0"/>
    <x v="1"/>
    <n v="1.5"/>
    <n v="0"/>
    <n v="0"/>
    <x v="0"/>
    <n v="2"/>
    <x v="4"/>
  </r>
  <r>
    <x v="1"/>
    <x v="1"/>
    <n v="3.5"/>
    <n v="3"/>
    <n v="10"/>
    <x v="1"/>
    <n v="2"/>
    <x v="10"/>
  </r>
  <r>
    <x v="1"/>
    <x v="1"/>
    <n v="0"/>
    <n v="1"/>
    <n v="0"/>
    <x v="0"/>
    <n v="1"/>
    <x v="0"/>
  </r>
  <r>
    <x v="1"/>
    <x v="1"/>
    <n v="6.75"/>
    <n v="0"/>
    <n v="4"/>
    <x v="0"/>
    <n v="2"/>
    <x v="4"/>
  </r>
  <r>
    <x v="0"/>
    <x v="0"/>
    <n v="0.25"/>
    <n v="1"/>
    <n v="5"/>
    <x v="0"/>
    <n v="1"/>
    <x v="0"/>
  </r>
  <r>
    <x v="1"/>
    <x v="1"/>
    <n v="4.75"/>
    <n v="0"/>
    <n v="1"/>
    <x v="0"/>
    <n v="1"/>
    <x v="3"/>
  </r>
  <r>
    <x v="1"/>
    <x v="1"/>
    <n v="13.25"/>
    <n v="0"/>
    <n v="2"/>
    <x v="0"/>
    <n v="1"/>
    <x v="7"/>
  </r>
  <r>
    <x v="0"/>
    <x v="1"/>
    <n v="3.25"/>
    <n v="0"/>
    <n v="2"/>
    <x v="0"/>
    <n v="1"/>
    <x v="0"/>
  </r>
  <r>
    <x v="1"/>
    <x v="1"/>
    <n v="13.25"/>
    <n v="0"/>
    <n v="0"/>
    <x v="0"/>
    <n v="3"/>
    <x v="5"/>
  </r>
  <r>
    <x v="1"/>
    <x v="1"/>
    <n v="0.5"/>
    <n v="0"/>
    <n v="16"/>
    <x v="0"/>
    <n v="4"/>
    <x v="5"/>
  </r>
  <r>
    <x v="1"/>
    <x v="1"/>
    <n v="4.75"/>
    <n v="0"/>
    <n v="1"/>
    <x v="0"/>
    <n v="3"/>
    <x v="6"/>
  </r>
  <r>
    <x v="0"/>
    <x v="1"/>
    <n v="0.25"/>
    <n v="0"/>
    <n v="10"/>
    <x v="0"/>
    <n v="2"/>
    <x v="3"/>
  </r>
  <r>
    <x v="1"/>
    <x v="1"/>
    <n v="0"/>
    <n v="0"/>
    <n v="0"/>
    <x v="0"/>
    <n v="2"/>
    <x v="4"/>
  </r>
  <r>
    <x v="1"/>
    <x v="1"/>
    <n v="4.5"/>
    <n v="0"/>
    <n v="2"/>
    <x v="0"/>
    <n v="2"/>
    <x v="4"/>
  </r>
  <r>
    <x v="1"/>
    <x v="1"/>
    <n v="3.75"/>
    <n v="1"/>
    <n v="9"/>
    <x v="0"/>
    <n v="2"/>
    <x v="10"/>
  </r>
  <r>
    <x v="0"/>
    <x v="0"/>
    <n v="13.75"/>
    <n v="0"/>
    <n v="6"/>
    <x v="0"/>
    <n v="1"/>
    <x v="3"/>
  </r>
  <r>
    <x v="1"/>
    <x v="1"/>
    <n v="0.25"/>
    <n v="1"/>
    <n v="12"/>
    <x v="1"/>
    <n v="5"/>
    <x v="8"/>
  </r>
  <r>
    <x v="1"/>
    <x v="1"/>
    <n v="13"/>
    <n v="0"/>
    <n v="8"/>
    <x v="0"/>
    <n v="2"/>
    <x v="6"/>
  </r>
  <r>
    <x v="1"/>
    <x v="1"/>
    <n v="3"/>
    <n v="0"/>
    <n v="0"/>
    <x v="0"/>
    <n v="1"/>
    <x v="5"/>
  </r>
  <r>
    <x v="0"/>
    <x v="1"/>
    <n v="0.75"/>
    <n v="1"/>
    <n v="14"/>
    <x v="1"/>
    <n v="1"/>
    <x v="8"/>
  </r>
  <r>
    <x v="1"/>
    <x v="1"/>
    <n v="3"/>
    <n v="0"/>
    <n v="0"/>
    <x v="0"/>
    <n v="1"/>
    <x v="2"/>
  </r>
  <r>
    <x v="0"/>
    <x v="1"/>
    <n v="3.75"/>
    <n v="0"/>
    <n v="0"/>
    <x v="0"/>
    <n v="1"/>
    <x v="9"/>
  </r>
  <r>
    <x v="0"/>
    <x v="0"/>
    <n v="3.75"/>
    <n v="2"/>
    <n v="4"/>
    <x v="0"/>
    <n v="2"/>
    <x v="10"/>
  </r>
  <r>
    <x v="0"/>
    <x v="1"/>
    <n v="8.75"/>
    <n v="0"/>
    <n v="0"/>
    <x v="0"/>
    <n v="1"/>
    <x v="4"/>
  </r>
  <r>
    <x v="1"/>
    <x v="1"/>
    <n v="4"/>
    <n v="0"/>
    <n v="2"/>
    <x v="0"/>
    <n v="2"/>
    <x v="2"/>
  </r>
  <r>
    <x v="1"/>
    <x v="1"/>
    <n v="1.25"/>
    <n v="0"/>
    <n v="4"/>
    <x v="0"/>
    <n v="1"/>
    <x v="6"/>
  </r>
  <r>
    <x v="0"/>
    <x v="1"/>
    <n v="4.5"/>
    <n v="0"/>
    <n v="2"/>
    <x v="0"/>
    <n v="2"/>
    <x v="4"/>
  </r>
  <r>
    <x v="0"/>
    <x v="1"/>
    <n v="3.5"/>
    <n v="0"/>
    <n v="0"/>
    <x v="1"/>
    <n v="3"/>
    <x v="3"/>
  </r>
  <r>
    <x v="1"/>
    <x v="1"/>
    <n v="2"/>
    <n v="0"/>
    <n v="4"/>
    <x v="0"/>
    <n v="1"/>
    <x v="2"/>
  </r>
  <r>
    <x v="0"/>
    <x v="0"/>
    <n v="4.75"/>
    <n v="0"/>
    <n v="4"/>
    <x v="0"/>
    <n v="1"/>
    <x v="3"/>
  </r>
  <r>
    <x v="1"/>
    <x v="1"/>
    <n v="4"/>
    <n v="0"/>
    <n v="16"/>
    <x v="0"/>
    <n v="4"/>
    <x v="5"/>
  </r>
  <r>
    <x v="1"/>
    <x v="1"/>
    <n v="3"/>
    <n v="0"/>
    <n v="0"/>
    <x v="0"/>
    <n v="1"/>
    <x v="9"/>
  </r>
  <r>
    <x v="0"/>
    <x v="1"/>
    <n v="0.75"/>
    <n v="0"/>
    <n v="1"/>
    <x v="0"/>
    <n v="1"/>
    <x v="2"/>
  </r>
  <r>
    <x v="0"/>
    <x v="1"/>
    <n v="0.25"/>
    <n v="1"/>
    <n v="0"/>
    <x v="0"/>
    <n v="1"/>
    <x v="11"/>
  </r>
  <r>
    <x v="1"/>
    <x v="1"/>
    <n v="1.75"/>
    <n v="3"/>
    <n v="10"/>
    <x v="1"/>
    <n v="1"/>
    <x v="10"/>
  </r>
  <r>
    <x v="0"/>
    <x v="0"/>
    <n v="0"/>
    <n v="0"/>
    <n v="0"/>
    <x v="0"/>
    <n v="1"/>
    <x v="2"/>
  </r>
  <r>
    <x v="1"/>
    <x v="1"/>
    <n v="0.5"/>
    <n v="0"/>
    <n v="2"/>
    <x v="0"/>
    <n v="4"/>
    <x v="3"/>
  </r>
  <r>
    <x v="0"/>
    <x v="1"/>
    <n v="1.25"/>
    <n v="1"/>
    <n v="4"/>
    <x v="0"/>
    <n v="1"/>
    <x v="10"/>
  </r>
  <r>
    <x v="1"/>
    <x v="1"/>
    <n v="5"/>
    <n v="1"/>
    <n v="0"/>
    <x v="0"/>
    <n v="1"/>
    <x v="3"/>
  </r>
  <r>
    <x v="0"/>
    <x v="0"/>
    <n v="1"/>
    <n v="0"/>
    <n v="0"/>
    <x v="0"/>
    <n v="1"/>
    <x v="0"/>
  </r>
  <r>
    <x v="1"/>
    <x v="1"/>
    <n v="9.25"/>
    <n v="0"/>
    <n v="4"/>
    <x v="0"/>
    <n v="1"/>
    <x v="6"/>
  </r>
  <r>
    <x v="0"/>
    <x v="1"/>
    <n v="3.25"/>
    <n v="0"/>
    <n v="2"/>
    <x v="0"/>
    <n v="1"/>
    <x v="9"/>
  </r>
  <r>
    <x v="0"/>
    <x v="1"/>
    <n v="1.5"/>
    <n v="0"/>
    <n v="0"/>
    <x v="1"/>
    <n v="1"/>
    <x v="11"/>
  </r>
  <r>
    <x v="0"/>
    <x v="1"/>
    <n v="1"/>
    <n v="1"/>
    <n v="4"/>
    <x v="1"/>
    <n v="1"/>
    <x v="0"/>
  </r>
  <r>
    <x v="1"/>
    <x v="1"/>
    <n v="8.25"/>
    <n v="0"/>
    <n v="10"/>
    <x v="0"/>
    <n v="1"/>
    <x v="6"/>
  </r>
  <r>
    <x v="1"/>
    <x v="1"/>
    <n v="4.25"/>
    <n v="0"/>
    <n v="2"/>
    <x v="0"/>
    <n v="1"/>
    <x v="9"/>
  </r>
  <r>
    <x v="0"/>
    <x v="1"/>
    <n v="0.75"/>
    <n v="0"/>
    <n v="7"/>
    <x v="0"/>
    <n v="1"/>
    <x v="9"/>
  </r>
  <r>
    <x v="0"/>
    <x v="1"/>
    <n v="7"/>
    <n v="1"/>
    <n v="0"/>
    <x v="0"/>
    <n v="1"/>
    <x v="10"/>
  </r>
  <r>
    <x v="0"/>
    <x v="1"/>
    <n v="6.75"/>
    <n v="0"/>
    <n v="10"/>
    <x v="0"/>
    <n v="1"/>
    <x v="3"/>
  </r>
  <r>
    <x v="0"/>
    <x v="1"/>
    <n v="7.25"/>
    <n v="0"/>
    <n v="0"/>
    <x v="0"/>
    <n v="1"/>
    <x v="6"/>
  </r>
  <r>
    <x v="0"/>
    <x v="1"/>
    <n v="2.5"/>
    <n v="2"/>
    <n v="0"/>
    <x v="0"/>
    <n v="2"/>
    <x v="0"/>
  </r>
  <r>
    <x v="1"/>
    <x v="1"/>
    <n v="1"/>
    <n v="0"/>
    <n v="2"/>
    <x v="1"/>
    <n v="1"/>
    <x v="3"/>
  </r>
  <r>
    <x v="0"/>
    <x v="1"/>
    <n v="0.5"/>
    <n v="0"/>
    <n v="4"/>
    <x v="0"/>
    <n v="3"/>
    <x v="3"/>
  </r>
  <r>
    <x v="0"/>
    <x v="1"/>
    <n v="2.5"/>
    <n v="0"/>
    <n v="0"/>
    <x v="0"/>
    <n v="1"/>
    <x v="6"/>
  </r>
  <r>
    <x v="1"/>
    <x v="1"/>
    <n v="0"/>
    <n v="0"/>
    <n v="5"/>
    <x v="0"/>
    <n v="1"/>
    <x v="6"/>
  </r>
  <r>
    <x v="1"/>
    <x v="0"/>
    <n v="4.25"/>
    <n v="0"/>
    <n v="2"/>
    <x v="0"/>
    <n v="1"/>
    <x v="2"/>
  </r>
  <r>
    <x v="1"/>
    <x v="1"/>
    <n v="3.75"/>
    <n v="0"/>
    <n v="8"/>
    <x v="0"/>
    <n v="2"/>
    <x v="5"/>
  </r>
  <r>
    <x v="0"/>
    <x v="0"/>
    <n v="4"/>
    <n v="0"/>
    <n v="16"/>
    <x v="0"/>
    <n v="1"/>
    <x v="0"/>
  </r>
  <r>
    <x v="0"/>
    <x v="1"/>
    <n v="4.25"/>
    <n v="0"/>
    <n v="0"/>
    <x v="0"/>
    <n v="1"/>
    <x v="6"/>
  </r>
  <r>
    <x v="0"/>
    <x v="1"/>
    <n v="1.5"/>
    <n v="0"/>
    <n v="0"/>
    <x v="0"/>
    <n v="1"/>
    <x v="5"/>
  </r>
  <r>
    <x v="1"/>
    <x v="1"/>
    <n v="1.75"/>
    <n v="0"/>
    <n v="11"/>
    <x v="0"/>
    <n v="3"/>
    <x v="3"/>
  </r>
  <r>
    <x v="0"/>
    <x v="1"/>
    <n v="6"/>
    <n v="0"/>
    <n v="1"/>
    <x v="0"/>
    <n v="2"/>
    <x v="5"/>
  </r>
  <r>
    <x v="0"/>
    <x v="1"/>
    <n v="9.25"/>
    <n v="0"/>
    <n v="2"/>
    <x v="0"/>
    <n v="2"/>
    <x v="3"/>
  </r>
  <r>
    <x v="0"/>
    <x v="1"/>
    <n v="4.25"/>
    <n v="0"/>
    <n v="0"/>
    <x v="0"/>
    <n v="3"/>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9">
  <r>
    <x v="0"/>
  </r>
  <r>
    <x v="1"/>
  </r>
  <r>
    <x v="1"/>
  </r>
  <r>
    <x v="1"/>
  </r>
  <r>
    <x v="1"/>
  </r>
  <r>
    <x v="1"/>
  </r>
  <r>
    <x v="1"/>
  </r>
  <r>
    <x v="1"/>
  </r>
  <r>
    <x v="1"/>
  </r>
  <r>
    <x v="1"/>
  </r>
  <r>
    <x v="1"/>
  </r>
  <r>
    <x v="1"/>
  </r>
  <r>
    <x v="1"/>
  </r>
  <r>
    <x v="1"/>
  </r>
  <r>
    <x v="2"/>
  </r>
  <r>
    <x v="1"/>
  </r>
  <r>
    <x v="1"/>
  </r>
  <r>
    <x v="1"/>
  </r>
  <r>
    <x v="1"/>
  </r>
  <r>
    <x v="1"/>
  </r>
  <r>
    <x v="1"/>
  </r>
  <r>
    <x v="1"/>
  </r>
  <r>
    <x v="1"/>
  </r>
  <r>
    <x v="0"/>
  </r>
  <r>
    <x v="1"/>
  </r>
  <r>
    <x v="0"/>
  </r>
  <r>
    <x v="0"/>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0"/>
  </r>
  <r>
    <x v="3"/>
  </r>
  <r>
    <x v="1"/>
  </r>
  <r>
    <x v="1"/>
  </r>
  <r>
    <x v="1"/>
  </r>
  <r>
    <x v="1"/>
  </r>
  <r>
    <x v="1"/>
  </r>
  <r>
    <x v="1"/>
  </r>
  <r>
    <x v="1"/>
  </r>
  <r>
    <x v="1"/>
  </r>
  <r>
    <x v="1"/>
  </r>
  <r>
    <x v="3"/>
  </r>
  <r>
    <x v="1"/>
  </r>
  <r>
    <x v="1"/>
  </r>
  <r>
    <x v="1"/>
  </r>
  <r>
    <x v="1"/>
  </r>
  <r>
    <x v="1"/>
  </r>
  <r>
    <x v="1"/>
  </r>
  <r>
    <x v="3"/>
  </r>
  <r>
    <x v="2"/>
  </r>
  <r>
    <x v="1"/>
  </r>
  <r>
    <x v="1"/>
  </r>
  <r>
    <x v="1"/>
  </r>
  <r>
    <x v="1"/>
  </r>
  <r>
    <x v="1"/>
  </r>
  <r>
    <x v="1"/>
  </r>
  <r>
    <x v="1"/>
  </r>
  <r>
    <x v="1"/>
  </r>
  <r>
    <x v="1"/>
  </r>
  <r>
    <x v="0"/>
  </r>
  <r>
    <x v="1"/>
  </r>
  <r>
    <x v="1"/>
  </r>
  <r>
    <x v="1"/>
  </r>
  <r>
    <x v="1"/>
  </r>
  <r>
    <x v="1"/>
  </r>
  <r>
    <x v="1"/>
  </r>
  <r>
    <x v="1"/>
  </r>
  <r>
    <x v="1"/>
  </r>
  <r>
    <x v="1"/>
  </r>
  <r>
    <x v="0"/>
  </r>
  <r>
    <x v="1"/>
  </r>
  <r>
    <x v="1"/>
  </r>
  <r>
    <x v="1"/>
  </r>
  <r>
    <x v="0"/>
  </r>
  <r>
    <x v="1"/>
  </r>
  <r>
    <x v="1"/>
  </r>
  <r>
    <x v="0"/>
  </r>
  <r>
    <x v="1"/>
  </r>
  <r>
    <x v="1"/>
  </r>
  <r>
    <x v="1"/>
  </r>
  <r>
    <x v="0"/>
  </r>
  <r>
    <x v="1"/>
  </r>
  <r>
    <x v="1"/>
  </r>
  <r>
    <x v="1"/>
  </r>
  <r>
    <x v="1"/>
  </r>
  <r>
    <x v="1"/>
  </r>
  <r>
    <x v="1"/>
  </r>
  <r>
    <x v="0"/>
  </r>
  <r>
    <x v="0"/>
  </r>
  <r>
    <x v="1"/>
  </r>
  <r>
    <x v="1"/>
  </r>
  <r>
    <x v="1"/>
  </r>
  <r>
    <x v="0"/>
  </r>
  <r>
    <x v="1"/>
  </r>
  <r>
    <x v="1"/>
  </r>
  <r>
    <x v="1"/>
  </r>
  <r>
    <x v="1"/>
  </r>
  <r>
    <x v="1"/>
  </r>
  <r>
    <x v="1"/>
  </r>
  <r>
    <x v="1"/>
  </r>
  <r>
    <x v="1"/>
  </r>
  <r>
    <x v="1"/>
  </r>
  <r>
    <x v="1"/>
  </r>
  <r>
    <x v="1"/>
  </r>
  <r>
    <x v="1"/>
  </r>
  <r>
    <x v="1"/>
  </r>
  <r>
    <x v="1"/>
  </r>
  <r>
    <x v="2"/>
  </r>
  <r>
    <x v="1"/>
  </r>
  <r>
    <x v="0"/>
  </r>
  <r>
    <x v="1"/>
  </r>
  <r>
    <x v="1"/>
  </r>
  <r>
    <x v="1"/>
  </r>
  <r>
    <x v="1"/>
  </r>
  <r>
    <x v="1"/>
  </r>
  <r>
    <x v="0"/>
  </r>
  <r>
    <x v="3"/>
  </r>
  <r>
    <x v="1"/>
  </r>
  <r>
    <x v="0"/>
  </r>
  <r>
    <x v="1"/>
  </r>
  <r>
    <x v="1"/>
  </r>
  <r>
    <x v="1"/>
  </r>
  <r>
    <x v="1"/>
  </r>
  <r>
    <x v="1"/>
  </r>
  <r>
    <x v="1"/>
  </r>
  <r>
    <x v="1"/>
  </r>
  <r>
    <x v="0"/>
  </r>
  <r>
    <x v="1"/>
  </r>
  <r>
    <x v="1"/>
  </r>
  <r>
    <x v="1"/>
  </r>
  <r>
    <x v="1"/>
  </r>
  <r>
    <x v="2"/>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0"/>
  </r>
  <r>
    <x v="1"/>
  </r>
  <r>
    <x v="1"/>
  </r>
  <r>
    <x v="1"/>
  </r>
  <r>
    <x v="1"/>
  </r>
  <r>
    <x v="1"/>
  </r>
  <r>
    <x v="1"/>
  </r>
  <r>
    <x v="1"/>
  </r>
  <r>
    <x v="2"/>
  </r>
  <r>
    <x v="1"/>
  </r>
  <r>
    <x v="1"/>
  </r>
  <r>
    <x v="1"/>
  </r>
  <r>
    <x v="0"/>
  </r>
  <r>
    <x v="1"/>
  </r>
  <r>
    <x v="0"/>
  </r>
  <r>
    <x v="1"/>
  </r>
  <r>
    <x v="1"/>
  </r>
  <r>
    <x v="1"/>
  </r>
  <r>
    <x v="1"/>
  </r>
  <r>
    <x v="1"/>
  </r>
  <r>
    <x v="1"/>
  </r>
  <r>
    <x v="1"/>
  </r>
  <r>
    <x v="1"/>
  </r>
  <r>
    <x v="1"/>
  </r>
  <r>
    <x v="1"/>
  </r>
  <r>
    <x v="1"/>
  </r>
  <r>
    <x v="1"/>
  </r>
  <r>
    <x v="1"/>
  </r>
  <r>
    <x v="1"/>
  </r>
  <r>
    <x v="3"/>
  </r>
  <r>
    <x v="0"/>
  </r>
  <r>
    <x v="1"/>
  </r>
  <r>
    <x v="0"/>
  </r>
  <r>
    <x v="1"/>
  </r>
  <r>
    <x v="1"/>
  </r>
  <r>
    <x v="1"/>
  </r>
  <r>
    <x v="1"/>
  </r>
  <r>
    <x v="1"/>
  </r>
  <r>
    <x v="1"/>
  </r>
  <r>
    <x v="1"/>
  </r>
  <r>
    <x v="1"/>
  </r>
  <r>
    <x v="1"/>
  </r>
  <r>
    <x v="0"/>
  </r>
  <r>
    <x v="1"/>
  </r>
  <r>
    <x v="0"/>
  </r>
  <r>
    <x v="1"/>
  </r>
  <r>
    <x v="1"/>
  </r>
  <r>
    <x v="0"/>
  </r>
  <r>
    <x v="1"/>
  </r>
  <r>
    <x v="1"/>
  </r>
  <r>
    <x v="2"/>
  </r>
  <r>
    <x v="1"/>
  </r>
  <r>
    <x v="1"/>
  </r>
  <r>
    <x v="1"/>
  </r>
  <r>
    <x v="1"/>
  </r>
  <r>
    <x v="1"/>
  </r>
  <r>
    <x v="1"/>
  </r>
  <r>
    <x v="1"/>
  </r>
  <r>
    <x v="1"/>
  </r>
  <r>
    <x v="1"/>
  </r>
  <r>
    <x v="1"/>
  </r>
  <r>
    <x v="0"/>
  </r>
  <r>
    <x v="3"/>
  </r>
  <r>
    <x v="1"/>
  </r>
  <r>
    <x v="1"/>
  </r>
  <r>
    <x v="0"/>
  </r>
  <r>
    <x v="0"/>
  </r>
  <r>
    <x v="1"/>
  </r>
  <r>
    <x v="1"/>
  </r>
  <r>
    <x v="1"/>
  </r>
  <r>
    <x v="1"/>
  </r>
  <r>
    <x v="0"/>
  </r>
  <r>
    <x v="1"/>
  </r>
  <r>
    <x v="1"/>
  </r>
  <r>
    <x v="1"/>
  </r>
  <r>
    <x v="0"/>
  </r>
  <r>
    <x v="1"/>
  </r>
  <r>
    <x v="1"/>
  </r>
  <r>
    <x v="2"/>
  </r>
  <r>
    <x v="1"/>
  </r>
  <r>
    <x v="1"/>
  </r>
  <r>
    <x v="1"/>
  </r>
  <r>
    <x v="1"/>
  </r>
  <r>
    <x v="1"/>
  </r>
  <r>
    <x v="1"/>
  </r>
  <r>
    <x v="1"/>
  </r>
  <r>
    <x v="1"/>
  </r>
  <r>
    <x v="1"/>
  </r>
  <r>
    <x v="1"/>
  </r>
  <r>
    <x v="1"/>
  </r>
  <r>
    <x v="1"/>
  </r>
  <r>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9">
  <r>
    <x v="0"/>
  </r>
  <r>
    <x v="1"/>
  </r>
  <r>
    <x v="1"/>
  </r>
  <r>
    <x v="1"/>
  </r>
  <r>
    <x v="2"/>
  </r>
  <r>
    <x v="1"/>
  </r>
  <r>
    <x v="1"/>
  </r>
  <r>
    <x v="0"/>
  </r>
  <r>
    <x v="1"/>
  </r>
  <r>
    <x v="2"/>
  </r>
  <r>
    <x v="3"/>
  </r>
  <r>
    <x v="1"/>
  </r>
  <r>
    <x v="4"/>
  </r>
  <r>
    <x v="5"/>
  </r>
  <r>
    <x v="4"/>
  </r>
  <r>
    <x v="3"/>
  </r>
  <r>
    <x v="1"/>
  </r>
  <r>
    <x v="1"/>
  </r>
  <r>
    <x v="0"/>
  </r>
  <r>
    <x v="1"/>
  </r>
  <r>
    <x v="1"/>
  </r>
  <r>
    <x v="0"/>
  </r>
  <r>
    <x v="2"/>
  </r>
  <r>
    <x v="6"/>
  </r>
  <r>
    <x v="5"/>
  </r>
  <r>
    <x v="4"/>
  </r>
  <r>
    <x v="2"/>
  </r>
  <r>
    <x v="7"/>
  </r>
  <r>
    <x v="2"/>
  </r>
  <r>
    <x v="0"/>
  </r>
  <r>
    <x v="1"/>
  </r>
  <r>
    <x v="2"/>
  </r>
  <r>
    <x v="1"/>
  </r>
  <r>
    <x v="1"/>
  </r>
  <r>
    <x v="1"/>
  </r>
  <r>
    <x v="0"/>
  </r>
  <r>
    <x v="2"/>
  </r>
  <r>
    <x v="1"/>
  </r>
  <r>
    <x v="8"/>
  </r>
  <r>
    <x v="2"/>
  </r>
  <r>
    <x v="0"/>
  </r>
  <r>
    <x v="3"/>
  </r>
  <r>
    <x v="1"/>
  </r>
  <r>
    <x v="5"/>
  </r>
  <r>
    <x v="0"/>
  </r>
  <r>
    <x v="8"/>
  </r>
  <r>
    <x v="7"/>
  </r>
  <r>
    <x v="1"/>
  </r>
  <r>
    <x v="2"/>
  </r>
  <r>
    <x v="1"/>
  </r>
  <r>
    <x v="1"/>
  </r>
  <r>
    <x v="2"/>
  </r>
  <r>
    <x v="1"/>
  </r>
  <r>
    <x v="5"/>
  </r>
  <r>
    <x v="5"/>
  </r>
  <r>
    <x v="1"/>
  </r>
  <r>
    <x v="5"/>
  </r>
  <r>
    <x v="2"/>
  </r>
  <r>
    <x v="2"/>
  </r>
  <r>
    <x v="1"/>
  </r>
  <r>
    <x v="0"/>
  </r>
  <r>
    <x v="1"/>
  </r>
  <r>
    <x v="1"/>
  </r>
  <r>
    <x v="1"/>
  </r>
  <r>
    <x v="1"/>
  </r>
  <r>
    <x v="1"/>
  </r>
  <r>
    <x v="2"/>
  </r>
  <r>
    <x v="5"/>
  </r>
  <r>
    <x v="7"/>
  </r>
  <r>
    <x v="1"/>
  </r>
  <r>
    <x v="9"/>
  </r>
  <r>
    <x v="7"/>
  </r>
  <r>
    <x v="5"/>
  </r>
  <r>
    <x v="1"/>
  </r>
  <r>
    <x v="0"/>
  </r>
  <r>
    <x v="10"/>
  </r>
  <r>
    <x v="2"/>
  </r>
  <r>
    <x v="11"/>
  </r>
  <r>
    <x v="1"/>
  </r>
  <r>
    <x v="2"/>
  </r>
  <r>
    <x v="1"/>
  </r>
  <r>
    <x v="7"/>
  </r>
  <r>
    <x v="0"/>
  </r>
  <r>
    <x v="1"/>
  </r>
  <r>
    <x v="1"/>
  </r>
  <r>
    <x v="2"/>
  </r>
  <r>
    <x v="1"/>
  </r>
  <r>
    <x v="0"/>
  </r>
  <r>
    <x v="2"/>
  </r>
  <r>
    <x v="1"/>
  </r>
  <r>
    <x v="3"/>
  </r>
  <r>
    <x v="7"/>
  </r>
  <r>
    <x v="1"/>
  </r>
  <r>
    <x v="1"/>
  </r>
  <r>
    <x v="3"/>
  </r>
  <r>
    <x v="1"/>
  </r>
  <r>
    <x v="1"/>
  </r>
  <r>
    <x v="1"/>
  </r>
  <r>
    <x v="1"/>
  </r>
  <r>
    <x v="6"/>
  </r>
  <r>
    <x v="2"/>
  </r>
  <r>
    <x v="0"/>
  </r>
  <r>
    <x v="5"/>
  </r>
  <r>
    <x v="2"/>
  </r>
  <r>
    <x v="5"/>
  </r>
  <r>
    <x v="0"/>
  </r>
  <r>
    <x v="1"/>
  </r>
  <r>
    <x v="1"/>
  </r>
  <r>
    <x v="1"/>
  </r>
  <r>
    <x v="1"/>
  </r>
  <r>
    <x v="1"/>
  </r>
  <r>
    <x v="1"/>
  </r>
  <r>
    <x v="12"/>
  </r>
  <r>
    <x v="13"/>
  </r>
  <r>
    <x v="3"/>
  </r>
  <r>
    <x v="0"/>
  </r>
  <r>
    <x v="1"/>
  </r>
  <r>
    <x v="1"/>
  </r>
  <r>
    <x v="3"/>
  </r>
  <r>
    <x v="2"/>
  </r>
  <r>
    <x v="3"/>
  </r>
  <r>
    <x v="5"/>
  </r>
  <r>
    <x v="1"/>
  </r>
  <r>
    <x v="2"/>
  </r>
  <r>
    <x v="1"/>
  </r>
  <r>
    <x v="3"/>
  </r>
  <r>
    <x v="0"/>
  </r>
  <r>
    <x v="0"/>
  </r>
  <r>
    <x v="3"/>
  </r>
  <r>
    <x v="0"/>
  </r>
  <r>
    <x v="1"/>
  </r>
  <r>
    <x v="1"/>
  </r>
  <r>
    <x v="1"/>
  </r>
  <r>
    <x v="0"/>
  </r>
  <r>
    <x v="1"/>
  </r>
  <r>
    <x v="0"/>
  </r>
  <r>
    <x v="6"/>
  </r>
  <r>
    <x v="1"/>
  </r>
  <r>
    <x v="1"/>
  </r>
  <r>
    <x v="0"/>
  </r>
  <r>
    <x v="1"/>
  </r>
  <r>
    <x v="1"/>
  </r>
  <r>
    <x v="1"/>
  </r>
  <r>
    <x v="2"/>
  </r>
  <r>
    <x v="1"/>
  </r>
  <r>
    <x v="0"/>
  </r>
  <r>
    <x v="0"/>
  </r>
  <r>
    <x v="1"/>
  </r>
  <r>
    <x v="1"/>
  </r>
  <r>
    <x v="0"/>
  </r>
  <r>
    <x v="1"/>
  </r>
  <r>
    <x v="1"/>
  </r>
  <r>
    <x v="1"/>
  </r>
  <r>
    <x v="3"/>
  </r>
  <r>
    <x v="3"/>
  </r>
  <r>
    <x v="2"/>
  </r>
  <r>
    <x v="13"/>
  </r>
  <r>
    <x v="0"/>
  </r>
  <r>
    <x v="0"/>
  </r>
  <r>
    <x v="1"/>
  </r>
  <r>
    <x v="3"/>
  </r>
  <r>
    <x v="13"/>
  </r>
  <r>
    <x v="1"/>
  </r>
  <r>
    <x v="5"/>
  </r>
  <r>
    <x v="1"/>
  </r>
  <r>
    <x v="12"/>
  </r>
  <r>
    <x v="5"/>
  </r>
  <r>
    <x v="0"/>
  </r>
  <r>
    <x v="5"/>
  </r>
  <r>
    <x v="7"/>
  </r>
  <r>
    <x v="1"/>
  </r>
  <r>
    <x v="1"/>
  </r>
  <r>
    <x v="1"/>
  </r>
  <r>
    <x v="1"/>
  </r>
  <r>
    <x v="0"/>
  </r>
  <r>
    <x v="14"/>
  </r>
  <r>
    <x v="0"/>
  </r>
  <r>
    <x v="3"/>
  </r>
  <r>
    <x v="2"/>
  </r>
  <r>
    <x v="1"/>
  </r>
  <r>
    <x v="1"/>
  </r>
  <r>
    <x v="15"/>
  </r>
  <r>
    <x v="2"/>
  </r>
  <r>
    <x v="1"/>
  </r>
  <r>
    <x v="0"/>
  </r>
  <r>
    <x v="1"/>
  </r>
  <r>
    <x v="2"/>
  </r>
  <r>
    <x v="1"/>
  </r>
  <r>
    <x v="3"/>
  </r>
  <r>
    <x v="15"/>
  </r>
  <r>
    <x v="1"/>
  </r>
  <r>
    <x v="0"/>
  </r>
  <r>
    <x v="7"/>
  </r>
  <r>
    <x v="3"/>
  </r>
  <r>
    <x v="0"/>
  </r>
  <r>
    <x v="1"/>
  </r>
  <r>
    <x v="1"/>
  </r>
  <r>
    <x v="1"/>
  </r>
  <r>
    <x v="2"/>
  </r>
  <r>
    <x v="2"/>
  </r>
  <r>
    <x v="1"/>
  </r>
  <r>
    <x v="10"/>
  </r>
  <r>
    <x v="1"/>
  </r>
  <r>
    <x v="0"/>
  </r>
  <r>
    <x v="5"/>
  </r>
  <r>
    <x v="1"/>
  </r>
  <r>
    <x v="0"/>
  </r>
  <r>
    <x v="5"/>
  </r>
  <r>
    <x v="0"/>
  </r>
  <r>
    <x v="1"/>
  </r>
  <r>
    <x v="0"/>
  </r>
  <r>
    <x v="1"/>
  </r>
  <r>
    <x v="0"/>
  </r>
  <r>
    <x v="1"/>
  </r>
  <r>
    <x v="2"/>
  </r>
  <r>
    <x v="3"/>
  </r>
  <r>
    <x v="3"/>
  </r>
  <r>
    <x v="2"/>
  </r>
  <r>
    <x v="3"/>
  </r>
  <r>
    <x v="1"/>
  </r>
  <r>
    <x v="1"/>
  </r>
  <r>
    <x v="16"/>
  </r>
  <r>
    <x v="1"/>
  </r>
  <r>
    <x v="1"/>
  </r>
  <r>
    <x v="1"/>
  </r>
  <r>
    <x v="5"/>
  </r>
  <r>
    <x v="8"/>
  </r>
  <r>
    <x v="0"/>
  </r>
  <r>
    <x v="1"/>
  </r>
  <r>
    <x v="12"/>
  </r>
  <r>
    <x v="1"/>
  </r>
  <r>
    <x v="3"/>
  </r>
  <r>
    <x v="2"/>
  </r>
  <r>
    <x v="3"/>
  </r>
  <r>
    <x v="3"/>
  </r>
  <r>
    <x v="1"/>
  </r>
  <r>
    <x v="7"/>
  </r>
  <r>
    <x v="1"/>
  </r>
  <r>
    <x v="0"/>
  </r>
  <r>
    <x v="8"/>
  </r>
  <r>
    <x v="15"/>
  </r>
  <r>
    <x v="2"/>
  </r>
  <r>
    <x v="2"/>
  </r>
  <r>
    <x v="1"/>
  </r>
  <r>
    <x v="13"/>
  </r>
  <r>
    <x v="15"/>
  </r>
  <r>
    <x v="7"/>
  </r>
  <r>
    <x v="1"/>
  </r>
  <r>
    <x v="2"/>
  </r>
  <r>
    <x v="9"/>
  </r>
  <r>
    <x v="3"/>
  </r>
  <r>
    <x v="6"/>
  </r>
  <r>
    <x v="5"/>
  </r>
  <r>
    <x v="1"/>
  </r>
  <r>
    <x v="12"/>
  </r>
  <r>
    <x v="1"/>
  </r>
  <r>
    <x v="1"/>
  </r>
  <r>
    <x v="0"/>
  </r>
  <r>
    <x v="1"/>
  </r>
  <r>
    <x v="2"/>
  </r>
  <r>
    <x v="0"/>
  </r>
  <r>
    <x v="2"/>
  </r>
  <r>
    <x v="1"/>
  </r>
  <r>
    <x v="0"/>
  </r>
  <r>
    <x v="0"/>
  </r>
  <r>
    <x v="13"/>
  </r>
  <r>
    <x v="1"/>
  </r>
  <r>
    <x v="15"/>
  </r>
  <r>
    <x v="1"/>
  </r>
  <r>
    <x v="7"/>
  </r>
  <r>
    <x v="1"/>
  </r>
  <r>
    <x v="2"/>
  </r>
  <r>
    <x v="0"/>
  </r>
  <r>
    <x v="1"/>
  </r>
  <r>
    <x v="1"/>
  </r>
  <r>
    <x v="0"/>
  </r>
  <r>
    <x v="2"/>
  </r>
  <r>
    <x v="1"/>
  </r>
  <r>
    <x v="0"/>
  </r>
  <r>
    <x v="7"/>
  </r>
  <r>
    <x v="2"/>
  </r>
  <r>
    <x v="14"/>
  </r>
  <r>
    <x v="1"/>
  </r>
  <r>
    <x v="7"/>
  </r>
  <r>
    <x v="1"/>
  </r>
  <r>
    <x v="1"/>
  </r>
  <r>
    <x v="2"/>
  </r>
  <r>
    <x v="0"/>
  </r>
  <r>
    <x v="1"/>
  </r>
  <r>
    <x v="8"/>
  </r>
  <r>
    <x v="2"/>
  </r>
  <r>
    <x v="5"/>
  </r>
  <r>
    <x v="13"/>
  </r>
  <r>
    <x v="1"/>
  </r>
  <r>
    <x v="1"/>
  </r>
  <r>
    <x v="10"/>
  </r>
  <r>
    <x v="15"/>
  </r>
  <r>
    <x v="2"/>
  </r>
  <r>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AA0F4F-5451-4C08-AD3B-8B51133944F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3:B26" firstHeaderRow="1" firstDataRow="1" firstDataCol="1"/>
  <pivotFields count="8">
    <pivotField showAll="0"/>
    <pivotField axis="axisRow" dataField="1" showAll="0">
      <items count="3">
        <item x="1"/>
        <item x="0"/>
        <item t="default"/>
      </items>
    </pivotField>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School Support" fld="1" subtotal="count" baseField="0" baseItem="0"/>
  </dataFields>
  <chartFormats count="3">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1" count="1" selected="0">
            <x v="0"/>
          </reference>
        </references>
      </pivotArea>
    </chartFormat>
    <chartFormat chart="0" format="5">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8EC356-7FC4-49A4-A5B1-7C929CEA0FD9}"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7:B40" firstHeaderRow="1" firstDataRow="1" firstDataCol="1"/>
  <pivotFields count="8">
    <pivotField compact="0" outline="0" showAll="0"/>
    <pivotField compact="0" outline="0" showAll="0"/>
    <pivotField compact="0" outline="0" showAll="0"/>
    <pivotField compact="0" outline="0" showAll="0"/>
    <pivotField compact="0" outline="0" showAll="0"/>
    <pivotField axis="axisRow" dataField="1" compact="0" outline="0" showAll="0">
      <items count="3">
        <item x="1"/>
        <item x="0"/>
        <item t="default"/>
      </items>
    </pivotField>
    <pivotField compact="0" outline="0" showAll="0"/>
    <pivotField compact="0" outline="0" showAll="0">
      <items count="16">
        <item x="1"/>
        <item x="14"/>
        <item x="8"/>
        <item x="10"/>
        <item x="11"/>
        <item x="0"/>
        <item x="3"/>
        <item x="5"/>
        <item x="2"/>
        <item x="6"/>
        <item x="4"/>
        <item x="9"/>
        <item x="7"/>
        <item x="12"/>
        <item x="13"/>
        <item t="default"/>
      </items>
    </pivotField>
  </pivotFields>
  <rowFields count="1">
    <field x="5"/>
  </rowFields>
  <rowItems count="3">
    <i>
      <x/>
    </i>
    <i>
      <x v="1"/>
    </i>
    <i t="grand">
      <x/>
    </i>
  </rowItems>
  <colItems count="1">
    <i/>
  </colItems>
  <dataFields count="1">
    <dataField name="Count of College" fld="5" subtotal="count" baseField="0" baseItem="0"/>
  </dataFields>
  <chartFormats count="3">
    <chartFormat chart="0" format="6"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5" count="1" selected="0">
            <x v="0"/>
          </reference>
        </references>
      </pivotArea>
    </chartFormat>
    <chartFormat chart="0" format="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9BE0AD-3191-4984-8C71-DC3FB5993037}" name="PivotTable4"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00:B118" firstHeaderRow="1" firstDataRow="1" firstDataCol="1"/>
  <pivotFields count="1">
    <pivotField axis="axisRow" dataField="1" compact="0" outline="0" showAll="0" sortType="descending">
      <items count="18">
        <item x="1"/>
        <item x="15"/>
        <item x="2"/>
        <item x="4"/>
        <item x="0"/>
        <item x="8"/>
        <item x="3"/>
        <item x="14"/>
        <item x="5"/>
        <item x="9"/>
        <item x="7"/>
        <item x="10"/>
        <item x="6"/>
        <item x="12"/>
        <item x="11"/>
        <item x="13"/>
        <item x="16"/>
        <item t="default"/>
      </items>
      <autoSortScope>
        <pivotArea dataOnly="0" outline="0" fieldPosition="0">
          <references count="1">
            <reference field="4294967294" count="1" selected="0">
              <x v="0"/>
            </reference>
          </references>
        </pivotArea>
      </autoSortScope>
    </pivotField>
  </pivotFields>
  <rowFields count="1">
    <field x="0"/>
  </rowFields>
  <rowItems count="18">
    <i>
      <x/>
    </i>
    <i>
      <x v="4"/>
    </i>
    <i>
      <x v="2"/>
    </i>
    <i>
      <x v="6"/>
    </i>
    <i>
      <x v="8"/>
    </i>
    <i>
      <x v="10"/>
    </i>
    <i>
      <x v="1"/>
    </i>
    <i>
      <x v="15"/>
    </i>
    <i>
      <x v="5"/>
    </i>
    <i>
      <x v="13"/>
    </i>
    <i>
      <x v="12"/>
    </i>
    <i>
      <x v="3"/>
    </i>
    <i>
      <x v="11"/>
    </i>
    <i>
      <x v="7"/>
    </i>
    <i>
      <x v="9"/>
    </i>
    <i>
      <x v="16"/>
    </i>
    <i>
      <x v="14"/>
    </i>
    <i t="grand">
      <x/>
    </i>
  </rowItems>
  <colItems count="1">
    <i/>
  </colItems>
  <dataFields count="1">
    <dataField name="Count of Absence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5B9FA9-FA90-4D59-B5F7-E69C9B79DF67}" name="PivotTable6"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73:B78" firstHeaderRow="1" firstDataRow="1" firstDataCol="1"/>
  <pivotFields count="1">
    <pivotField axis="axisRow" dataField="1" compact="0" outline="0"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s>
  <rowFields count="1">
    <field x="0"/>
  </rowFields>
  <rowItems count="5">
    <i>
      <x/>
    </i>
    <i>
      <x v="1"/>
    </i>
    <i>
      <x v="2"/>
    </i>
    <i>
      <x v="3"/>
    </i>
    <i t="grand">
      <x/>
    </i>
  </rowItems>
  <colItems count="1">
    <i/>
  </colItems>
  <dataFields count="1">
    <dataField name="Count of Failures"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7AA634-E138-4F9E-980D-64C2D2A0A4A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6:B9" firstHeaderRow="1" firstDataRow="1" firstDataCol="1"/>
  <pivotFields count="8">
    <pivotField axis="axisRow" dataField="1" showAll="0">
      <items count="3">
        <item x="0"/>
        <item x="1"/>
        <item t="default"/>
      </items>
    </pivotField>
    <pivotField showAll="0"/>
    <pivotField showAll="0"/>
    <pivotField showAll="0"/>
    <pivotField showAll="0"/>
    <pivotField showAll="0"/>
    <pivotField showAll="0"/>
    <pivotField showAll="0"/>
  </pivotFields>
  <rowFields count="1">
    <field x="0"/>
  </rowFields>
  <rowItems count="3">
    <i>
      <x/>
    </i>
    <i>
      <x v="1"/>
    </i>
    <i t="grand">
      <x/>
    </i>
  </rowItems>
  <colItems count="1">
    <i/>
  </colItems>
  <dataFields count="1">
    <dataField name="Count of Extracurriculars" fld="0" subtotal="count" baseField="0" baseItem="0"/>
  </dataFields>
  <chartFormats count="3">
    <chartFormat chart="7" format="3" series="1">
      <pivotArea type="data" outline="0" fieldPosition="0">
        <references count="1">
          <reference field="4294967294" count="1" selected="0">
            <x v="0"/>
          </reference>
        </references>
      </pivotArea>
    </chartFormat>
    <chartFormat chart="7" format="4">
      <pivotArea type="data" outline="0" fieldPosition="0">
        <references count="2">
          <reference field="4294967294" count="1" selected="0">
            <x v="0"/>
          </reference>
          <reference field="0" count="1" selected="0">
            <x v="0"/>
          </reference>
        </references>
      </pivotArea>
    </chartFormat>
    <chartFormat chart="7" format="5">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639221-FDCF-4A70-8B75-D773937A5C96}" name="Table1" displayName="Table1" ref="A133:B138" totalsRowShown="0" headerRowDxfId="3" headerRowBorderDxfId="2" tableBorderDxfId="1">
  <autoFilter ref="A133:B138" xr:uid="{AC639221-FDCF-4A70-8B75-D773937A5C96}"/>
  <tableColumns count="2">
    <tableColumn id="1" xr3:uid="{B13E620B-8C87-40CC-8D76-0F2C52A47BFB}" name="Regression Statistics"/>
    <tableColumn id="2" xr3:uid="{0045C36F-1B9D-4436-A131-7A7DE8110BE1}"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3.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D3516-5CDF-E044-A087-3390A303AEAE}">
  <dimension ref="A1:C22"/>
  <sheetViews>
    <sheetView topLeftCell="A2" zoomScale="92" zoomScaleNormal="150" workbookViewId="0">
      <selection activeCell="C28" sqref="C28"/>
    </sheetView>
  </sheetViews>
  <sheetFormatPr defaultColWidth="10.83203125" defaultRowHeight="16" x14ac:dyDescent="0.4"/>
  <cols>
    <col min="1" max="1" width="15.83203125" customWidth="1"/>
    <col min="2" max="2" width="15.5" customWidth="1"/>
    <col min="3" max="3" width="71" customWidth="1"/>
  </cols>
  <sheetData>
    <row r="1" spans="1:3" x14ac:dyDescent="0.4">
      <c r="A1" s="6" t="s">
        <v>0</v>
      </c>
    </row>
    <row r="2" spans="1:3" x14ac:dyDescent="0.4">
      <c r="A2" t="s">
        <v>1</v>
      </c>
    </row>
    <row r="3" spans="1:3" x14ac:dyDescent="0.4">
      <c r="A3" t="s">
        <v>2</v>
      </c>
    </row>
    <row r="4" spans="1:3" x14ac:dyDescent="0.4">
      <c r="A4" t="s">
        <v>3</v>
      </c>
    </row>
    <row r="6" spans="1:3" x14ac:dyDescent="0.4">
      <c r="A6" s="8" t="s">
        <v>4</v>
      </c>
      <c r="B6" s="8" t="s">
        <v>5</v>
      </c>
      <c r="C6" s="8" t="s">
        <v>6</v>
      </c>
    </row>
    <row r="7" spans="1:3" x14ac:dyDescent="0.4">
      <c r="A7" s="13" t="s">
        <v>7</v>
      </c>
      <c r="B7" t="s">
        <v>8</v>
      </c>
      <c r="C7" t="s">
        <v>9</v>
      </c>
    </row>
    <row r="8" spans="1:3" x14ac:dyDescent="0.4">
      <c r="A8" s="13" t="s">
        <v>10</v>
      </c>
      <c r="B8" t="s">
        <v>11</v>
      </c>
      <c r="C8" t="s">
        <v>12</v>
      </c>
    </row>
    <row r="9" spans="1:3" x14ac:dyDescent="0.4">
      <c r="A9" s="13" t="s">
        <v>13</v>
      </c>
      <c r="B9" t="s">
        <v>14</v>
      </c>
      <c r="C9" t="s">
        <v>15</v>
      </c>
    </row>
    <row r="10" spans="1:3" x14ac:dyDescent="0.4">
      <c r="A10" s="13" t="s">
        <v>16</v>
      </c>
      <c r="B10" t="s">
        <v>14</v>
      </c>
      <c r="C10" t="s">
        <v>17</v>
      </c>
    </row>
    <row r="11" spans="1:3" x14ac:dyDescent="0.4">
      <c r="A11" s="13" t="s">
        <v>18</v>
      </c>
      <c r="B11" t="s">
        <v>14</v>
      </c>
      <c r="C11" t="s">
        <v>19</v>
      </c>
    </row>
    <row r="12" spans="1:3" x14ac:dyDescent="0.4">
      <c r="A12" s="13" t="s">
        <v>20</v>
      </c>
      <c r="B12" t="s">
        <v>11</v>
      </c>
      <c r="C12" t="s">
        <v>21</v>
      </c>
    </row>
    <row r="13" spans="1:3" x14ac:dyDescent="0.4">
      <c r="A13" s="13" t="s">
        <v>22</v>
      </c>
      <c r="B13" t="s">
        <v>14</v>
      </c>
      <c r="C13" t="s">
        <v>23</v>
      </c>
    </row>
    <row r="14" spans="1:3" x14ac:dyDescent="0.4">
      <c r="A14" s="13" t="s">
        <v>24</v>
      </c>
      <c r="B14" t="s">
        <v>14</v>
      </c>
      <c r="C14" t="s">
        <v>25</v>
      </c>
    </row>
    <row r="15" spans="1:3" x14ac:dyDescent="0.4">
      <c r="A15" s="13" t="s">
        <v>26</v>
      </c>
      <c r="B15" t="s">
        <v>14</v>
      </c>
      <c r="C15" t="s">
        <v>27</v>
      </c>
    </row>
    <row r="16" spans="1:3" x14ac:dyDescent="0.4">
      <c r="A16" s="13" t="s">
        <v>28</v>
      </c>
      <c r="B16" t="s">
        <v>11</v>
      </c>
      <c r="C16" t="s">
        <v>29</v>
      </c>
    </row>
    <row r="17" spans="1:3" x14ac:dyDescent="0.4">
      <c r="A17" s="13" t="s">
        <v>30</v>
      </c>
      <c r="B17" t="s">
        <v>11</v>
      </c>
      <c r="C17" t="s">
        <v>31</v>
      </c>
    </row>
    <row r="18" spans="1:3" x14ac:dyDescent="0.4">
      <c r="A18" s="13" t="s">
        <v>32</v>
      </c>
      <c r="B18" t="s">
        <v>11</v>
      </c>
      <c r="C18" t="s">
        <v>33</v>
      </c>
    </row>
    <row r="19" spans="1:3" x14ac:dyDescent="0.4">
      <c r="A19" s="13" t="s">
        <v>34</v>
      </c>
      <c r="B19" t="s">
        <v>14</v>
      </c>
      <c r="C19" t="s">
        <v>35</v>
      </c>
    </row>
    <row r="20" spans="1:3" x14ac:dyDescent="0.4">
      <c r="A20" s="13" t="s">
        <v>36</v>
      </c>
      <c r="B20" t="s">
        <v>14</v>
      </c>
      <c r="C20" t="s">
        <v>37</v>
      </c>
    </row>
    <row r="21" spans="1:3" x14ac:dyDescent="0.4">
      <c r="A21" s="13" t="s">
        <v>38</v>
      </c>
      <c r="B21" t="s">
        <v>11</v>
      </c>
      <c r="C21" t="s">
        <v>39</v>
      </c>
    </row>
    <row r="22" spans="1:3" x14ac:dyDescent="0.4">
      <c r="A22" s="13" t="s">
        <v>40</v>
      </c>
      <c r="B22" t="s">
        <v>11</v>
      </c>
      <c r="C22" t="s">
        <v>41</v>
      </c>
    </row>
  </sheetData>
  <conditionalFormatting sqref="A7">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65A94-BA67-B740-A36B-F426FCA6214B}">
  <dimension ref="A1:R650"/>
  <sheetViews>
    <sheetView tabSelected="1" zoomScale="88" zoomScaleNormal="125" workbookViewId="0">
      <selection activeCell="R5" sqref="R5"/>
    </sheetView>
  </sheetViews>
  <sheetFormatPr defaultColWidth="10.5" defaultRowHeight="16" x14ac:dyDescent="0.4"/>
  <cols>
    <col min="4" max="4" width="10.83203125" customWidth="1"/>
    <col min="6" max="6" width="13.33203125" customWidth="1"/>
    <col min="8" max="8" width="14.83203125" bestFit="1" customWidth="1"/>
    <col min="9" max="9" width="13.33203125" bestFit="1" customWidth="1"/>
    <col min="13" max="13" width="10.83203125" customWidth="1"/>
  </cols>
  <sheetData>
    <row r="1" spans="1:18" s="1" customFormat="1" x14ac:dyDescent="0.4">
      <c r="A1" s="6" t="s">
        <v>7</v>
      </c>
      <c r="B1" s="6" t="s">
        <v>10</v>
      </c>
      <c r="C1" s="6" t="s">
        <v>13</v>
      </c>
      <c r="D1" s="6" t="s">
        <v>16</v>
      </c>
      <c r="E1" s="6" t="s">
        <v>18</v>
      </c>
      <c r="F1" s="6" t="s">
        <v>20</v>
      </c>
      <c r="G1" s="6" t="s">
        <v>22</v>
      </c>
      <c r="H1" s="6" t="s">
        <v>24</v>
      </c>
      <c r="I1" s="6" t="s">
        <v>26</v>
      </c>
      <c r="J1" s="6" t="s">
        <v>28</v>
      </c>
      <c r="K1" s="6" t="s">
        <v>30</v>
      </c>
      <c r="L1" s="6" t="s">
        <v>32</v>
      </c>
      <c r="M1" s="6" t="s">
        <v>34</v>
      </c>
      <c r="N1" s="6" t="s">
        <v>36</v>
      </c>
      <c r="O1" s="6" t="s">
        <v>38</v>
      </c>
      <c r="P1" s="6" t="s">
        <v>40</v>
      </c>
      <c r="Q1" s="6"/>
      <c r="R1" s="6"/>
    </row>
    <row r="2" spans="1:18" x14ac:dyDescent="0.4">
      <c r="A2" t="s">
        <v>42</v>
      </c>
      <c r="B2">
        <v>16</v>
      </c>
      <c r="C2" t="s">
        <v>43</v>
      </c>
      <c r="D2" t="s">
        <v>44</v>
      </c>
      <c r="E2" t="s">
        <v>45</v>
      </c>
      <c r="F2">
        <v>0</v>
      </c>
      <c r="G2" t="s">
        <v>46</v>
      </c>
      <c r="H2" t="s">
        <v>47</v>
      </c>
      <c r="I2" t="s">
        <v>45</v>
      </c>
      <c r="J2">
        <v>2.75</v>
      </c>
      <c r="K2">
        <v>1</v>
      </c>
      <c r="L2">
        <v>4</v>
      </c>
      <c r="M2" t="s">
        <v>45</v>
      </c>
      <c r="N2" t="s">
        <v>47</v>
      </c>
      <c r="O2">
        <v>2</v>
      </c>
      <c r="P2">
        <v>10</v>
      </c>
    </row>
    <row r="3" spans="1:18" x14ac:dyDescent="0.4">
      <c r="A3" t="s">
        <v>48</v>
      </c>
      <c r="B3">
        <v>16</v>
      </c>
      <c r="C3" t="s">
        <v>43</v>
      </c>
      <c r="D3" t="s">
        <v>49</v>
      </c>
      <c r="E3" t="s">
        <v>45</v>
      </c>
      <c r="F3">
        <v>0</v>
      </c>
      <c r="G3" t="s">
        <v>50</v>
      </c>
      <c r="H3" t="s">
        <v>45</v>
      </c>
      <c r="I3" t="s">
        <v>47</v>
      </c>
      <c r="J3">
        <v>3.75</v>
      </c>
      <c r="K3">
        <v>0</v>
      </c>
      <c r="L3">
        <v>0</v>
      </c>
      <c r="M3" t="s">
        <v>45</v>
      </c>
      <c r="N3" t="s">
        <v>47</v>
      </c>
      <c r="O3">
        <v>1</v>
      </c>
      <c r="P3">
        <v>0</v>
      </c>
    </row>
    <row r="4" spans="1:18" x14ac:dyDescent="0.4">
      <c r="A4" t="s">
        <v>51</v>
      </c>
      <c r="B4">
        <v>17</v>
      </c>
      <c r="C4" t="s">
        <v>43</v>
      </c>
      <c r="D4" t="s">
        <v>49</v>
      </c>
      <c r="E4" t="s">
        <v>45</v>
      </c>
      <c r="F4">
        <v>0</v>
      </c>
      <c r="G4" t="s">
        <v>46</v>
      </c>
      <c r="H4" t="s">
        <v>47</v>
      </c>
      <c r="I4" t="s">
        <v>47</v>
      </c>
      <c r="J4">
        <v>0.25</v>
      </c>
      <c r="K4">
        <v>0</v>
      </c>
      <c r="L4">
        <v>0</v>
      </c>
      <c r="M4" t="s">
        <v>45</v>
      </c>
      <c r="N4" t="s">
        <v>47</v>
      </c>
      <c r="O4">
        <v>3</v>
      </c>
      <c r="P4">
        <v>13</v>
      </c>
      <c r="R4" t="s">
        <v>52</v>
      </c>
    </row>
    <row r="5" spans="1:18" x14ac:dyDescent="0.4">
      <c r="A5" t="s">
        <v>53</v>
      </c>
      <c r="B5">
        <v>19</v>
      </c>
      <c r="C5" t="s">
        <v>43</v>
      </c>
      <c r="D5" t="s">
        <v>49</v>
      </c>
      <c r="E5" t="s">
        <v>45</v>
      </c>
      <c r="F5">
        <v>0</v>
      </c>
      <c r="G5" t="s">
        <v>46</v>
      </c>
      <c r="H5" t="s">
        <v>45</v>
      </c>
      <c r="I5" t="s">
        <v>47</v>
      </c>
      <c r="J5">
        <v>2.75</v>
      </c>
      <c r="K5">
        <v>0</v>
      </c>
      <c r="L5">
        <v>0</v>
      </c>
      <c r="M5" t="s">
        <v>45</v>
      </c>
      <c r="N5" t="s">
        <v>45</v>
      </c>
      <c r="O5">
        <v>1</v>
      </c>
      <c r="P5">
        <v>11</v>
      </c>
    </row>
    <row r="6" spans="1:18" x14ac:dyDescent="0.4">
      <c r="A6" t="s">
        <v>54</v>
      </c>
      <c r="B6">
        <v>15</v>
      </c>
      <c r="C6" t="s">
        <v>43</v>
      </c>
      <c r="D6" t="s">
        <v>44</v>
      </c>
      <c r="E6" t="s">
        <v>47</v>
      </c>
      <c r="F6">
        <v>0</v>
      </c>
      <c r="G6" t="s">
        <v>46</v>
      </c>
      <c r="H6" t="s">
        <v>45</v>
      </c>
      <c r="I6" t="s">
        <v>47</v>
      </c>
      <c r="J6">
        <v>0.25</v>
      </c>
      <c r="K6">
        <v>0</v>
      </c>
      <c r="L6">
        <v>2</v>
      </c>
      <c r="M6" t="s">
        <v>45</v>
      </c>
      <c r="N6" t="s">
        <v>47</v>
      </c>
      <c r="O6">
        <v>3</v>
      </c>
      <c r="P6">
        <v>10</v>
      </c>
    </row>
    <row r="7" spans="1:18" x14ac:dyDescent="0.4">
      <c r="A7" t="s">
        <v>55</v>
      </c>
      <c r="B7">
        <v>18</v>
      </c>
      <c r="C7" t="s">
        <v>56</v>
      </c>
      <c r="D7" t="s">
        <v>49</v>
      </c>
      <c r="E7" t="s">
        <v>47</v>
      </c>
      <c r="F7">
        <v>0</v>
      </c>
      <c r="G7" t="s">
        <v>50</v>
      </c>
      <c r="H7" t="s">
        <v>47</v>
      </c>
      <c r="I7" t="s">
        <v>47</v>
      </c>
      <c r="J7">
        <v>3.75</v>
      </c>
      <c r="K7">
        <v>0</v>
      </c>
      <c r="L7">
        <v>0</v>
      </c>
      <c r="M7" t="s">
        <v>45</v>
      </c>
      <c r="N7" t="s">
        <v>45</v>
      </c>
      <c r="O7">
        <v>2</v>
      </c>
      <c r="P7">
        <v>15</v>
      </c>
    </row>
    <row r="8" spans="1:18" x14ac:dyDescent="0.4">
      <c r="A8" t="s">
        <v>57</v>
      </c>
      <c r="B8">
        <v>18</v>
      </c>
      <c r="C8" t="s">
        <v>43</v>
      </c>
      <c r="D8" t="s">
        <v>44</v>
      </c>
      <c r="E8" t="s">
        <v>45</v>
      </c>
      <c r="F8">
        <v>0</v>
      </c>
      <c r="G8" t="s">
        <v>46</v>
      </c>
      <c r="H8" t="s">
        <v>45</v>
      </c>
      <c r="I8" t="s">
        <v>47</v>
      </c>
      <c r="J8">
        <v>7.25</v>
      </c>
      <c r="K8">
        <v>0</v>
      </c>
      <c r="L8">
        <v>0</v>
      </c>
      <c r="M8" t="s">
        <v>45</v>
      </c>
      <c r="N8" t="s">
        <v>47</v>
      </c>
      <c r="O8">
        <v>2</v>
      </c>
      <c r="P8">
        <v>15</v>
      </c>
    </row>
    <row r="9" spans="1:18" x14ac:dyDescent="0.4">
      <c r="A9" t="s">
        <v>58</v>
      </c>
      <c r="B9">
        <v>16</v>
      </c>
      <c r="C9" t="s">
        <v>43</v>
      </c>
      <c r="D9" t="s">
        <v>44</v>
      </c>
      <c r="E9" t="s">
        <v>45</v>
      </c>
      <c r="F9">
        <v>2</v>
      </c>
      <c r="G9" t="s">
        <v>46</v>
      </c>
      <c r="H9" t="s">
        <v>45</v>
      </c>
      <c r="I9" t="s">
        <v>47</v>
      </c>
      <c r="J9">
        <v>4</v>
      </c>
      <c r="K9">
        <v>0</v>
      </c>
      <c r="L9">
        <v>4</v>
      </c>
      <c r="M9" t="s">
        <v>45</v>
      </c>
      <c r="N9" t="s">
        <v>45</v>
      </c>
      <c r="O9">
        <v>5</v>
      </c>
      <c r="P9">
        <v>12</v>
      </c>
    </row>
    <row r="10" spans="1:18" x14ac:dyDescent="0.4">
      <c r="A10" t="s">
        <v>59</v>
      </c>
      <c r="B10">
        <v>15</v>
      </c>
      <c r="C10" t="s">
        <v>43</v>
      </c>
      <c r="D10" t="s">
        <v>49</v>
      </c>
      <c r="E10" t="s">
        <v>47</v>
      </c>
      <c r="F10">
        <v>1</v>
      </c>
      <c r="G10" t="s">
        <v>50</v>
      </c>
      <c r="H10" t="s">
        <v>45</v>
      </c>
      <c r="I10" t="s">
        <v>47</v>
      </c>
      <c r="J10">
        <v>3</v>
      </c>
      <c r="K10">
        <v>0</v>
      </c>
      <c r="L10">
        <v>0</v>
      </c>
      <c r="M10" t="s">
        <v>45</v>
      </c>
      <c r="N10" t="s">
        <v>47</v>
      </c>
      <c r="O10">
        <v>1</v>
      </c>
      <c r="P10">
        <v>14</v>
      </c>
    </row>
    <row r="11" spans="1:18" x14ac:dyDescent="0.4">
      <c r="A11" t="s">
        <v>60</v>
      </c>
      <c r="B11">
        <v>15</v>
      </c>
      <c r="C11" t="s">
        <v>43</v>
      </c>
      <c r="D11" t="s">
        <v>44</v>
      </c>
      <c r="E11" t="s">
        <v>47</v>
      </c>
      <c r="F11">
        <v>0</v>
      </c>
      <c r="G11" t="s">
        <v>46</v>
      </c>
      <c r="H11" t="s">
        <v>45</v>
      </c>
      <c r="I11" t="s">
        <v>47</v>
      </c>
      <c r="J11">
        <v>12.75</v>
      </c>
      <c r="K11">
        <v>0</v>
      </c>
      <c r="L11">
        <v>2</v>
      </c>
      <c r="M11" t="s">
        <v>45</v>
      </c>
      <c r="N11" t="s">
        <v>47</v>
      </c>
      <c r="O11">
        <v>1</v>
      </c>
      <c r="P11">
        <v>12</v>
      </c>
    </row>
    <row r="12" spans="1:18" x14ac:dyDescent="0.4">
      <c r="A12" t="s">
        <v>61</v>
      </c>
      <c r="B12">
        <v>18</v>
      </c>
      <c r="C12" t="s">
        <v>43</v>
      </c>
      <c r="D12" t="s">
        <v>44</v>
      </c>
      <c r="E12" t="s">
        <v>47</v>
      </c>
      <c r="F12">
        <v>1</v>
      </c>
      <c r="G12" t="s">
        <v>46</v>
      </c>
      <c r="H12" t="s">
        <v>45</v>
      </c>
      <c r="I12" t="s">
        <v>47</v>
      </c>
      <c r="J12">
        <v>3.25</v>
      </c>
      <c r="K12">
        <v>0</v>
      </c>
      <c r="L12">
        <v>6</v>
      </c>
      <c r="M12" t="s">
        <v>45</v>
      </c>
      <c r="N12" t="s">
        <v>45</v>
      </c>
      <c r="O12">
        <v>2</v>
      </c>
      <c r="P12">
        <v>17</v>
      </c>
    </row>
    <row r="13" spans="1:18" x14ac:dyDescent="0.4">
      <c r="A13" t="s">
        <v>62</v>
      </c>
      <c r="B13">
        <v>16</v>
      </c>
      <c r="C13" t="s">
        <v>43</v>
      </c>
      <c r="D13" t="s">
        <v>44</v>
      </c>
      <c r="E13" t="s">
        <v>45</v>
      </c>
      <c r="F13">
        <v>0</v>
      </c>
      <c r="G13" t="s">
        <v>50</v>
      </c>
      <c r="H13" t="s">
        <v>45</v>
      </c>
      <c r="I13" t="s">
        <v>47</v>
      </c>
      <c r="J13">
        <v>2.5</v>
      </c>
      <c r="K13">
        <v>0</v>
      </c>
      <c r="L13">
        <v>0</v>
      </c>
      <c r="M13" t="s">
        <v>45</v>
      </c>
      <c r="N13" t="s">
        <v>45</v>
      </c>
      <c r="O13">
        <v>4</v>
      </c>
      <c r="P13">
        <v>0</v>
      </c>
    </row>
    <row r="14" spans="1:18" x14ac:dyDescent="0.4">
      <c r="A14" t="s">
        <v>63</v>
      </c>
      <c r="B14">
        <v>18</v>
      </c>
      <c r="C14" t="s">
        <v>43</v>
      </c>
      <c r="D14" t="s">
        <v>49</v>
      </c>
      <c r="E14" t="s">
        <v>47</v>
      </c>
      <c r="F14">
        <v>0</v>
      </c>
      <c r="G14" t="s">
        <v>50</v>
      </c>
      <c r="H14" t="s">
        <v>45</v>
      </c>
      <c r="I14" t="s">
        <v>47</v>
      </c>
      <c r="J14">
        <v>0.25</v>
      </c>
      <c r="K14">
        <v>0</v>
      </c>
      <c r="L14">
        <v>3</v>
      </c>
      <c r="M14" t="s">
        <v>47</v>
      </c>
      <c r="N14" t="s">
        <v>45</v>
      </c>
      <c r="O14">
        <v>2</v>
      </c>
      <c r="P14">
        <v>10</v>
      </c>
    </row>
    <row r="15" spans="1:18" x14ac:dyDescent="0.4">
      <c r="A15" t="s">
        <v>64</v>
      </c>
      <c r="B15">
        <v>18</v>
      </c>
      <c r="C15" t="s">
        <v>56</v>
      </c>
      <c r="D15" t="s">
        <v>44</v>
      </c>
      <c r="E15" t="s">
        <v>45</v>
      </c>
      <c r="F15">
        <v>0</v>
      </c>
      <c r="G15" t="s">
        <v>46</v>
      </c>
      <c r="H15" t="s">
        <v>47</v>
      </c>
      <c r="I15" t="s">
        <v>47</v>
      </c>
      <c r="J15">
        <v>4.75</v>
      </c>
      <c r="K15">
        <v>0</v>
      </c>
      <c r="L15">
        <v>8</v>
      </c>
      <c r="M15" t="s">
        <v>45</v>
      </c>
      <c r="N15" t="s">
        <v>47</v>
      </c>
      <c r="O15">
        <v>1</v>
      </c>
      <c r="P15">
        <v>14</v>
      </c>
    </row>
    <row r="16" spans="1:18" x14ac:dyDescent="0.4">
      <c r="A16" t="s">
        <v>65</v>
      </c>
      <c r="B16">
        <v>18</v>
      </c>
      <c r="C16" t="s">
        <v>56</v>
      </c>
      <c r="D16" t="s">
        <v>44</v>
      </c>
      <c r="E16" t="s">
        <v>45</v>
      </c>
      <c r="F16">
        <v>0</v>
      </c>
      <c r="G16" t="s">
        <v>50</v>
      </c>
      <c r="H16" t="s">
        <v>45</v>
      </c>
      <c r="I16" t="s">
        <v>47</v>
      </c>
      <c r="J16">
        <v>3</v>
      </c>
      <c r="K16">
        <v>2</v>
      </c>
      <c r="L16">
        <v>3</v>
      </c>
      <c r="M16" t="s">
        <v>45</v>
      </c>
      <c r="N16" t="s">
        <v>45</v>
      </c>
      <c r="O16">
        <v>2</v>
      </c>
      <c r="P16">
        <v>7</v>
      </c>
    </row>
    <row r="17" spans="1:16" x14ac:dyDescent="0.4">
      <c r="A17" t="s">
        <v>66</v>
      </c>
      <c r="B17">
        <v>15</v>
      </c>
      <c r="C17" t="s">
        <v>56</v>
      </c>
      <c r="D17" t="s">
        <v>49</v>
      </c>
      <c r="E17" t="s">
        <v>47</v>
      </c>
      <c r="F17">
        <v>0</v>
      </c>
      <c r="G17" t="s">
        <v>46</v>
      </c>
      <c r="H17" t="s">
        <v>47</v>
      </c>
      <c r="I17" t="s">
        <v>47</v>
      </c>
      <c r="J17">
        <v>14.25</v>
      </c>
      <c r="K17">
        <v>0</v>
      </c>
      <c r="L17">
        <v>6</v>
      </c>
      <c r="M17" t="s">
        <v>45</v>
      </c>
      <c r="N17" t="s">
        <v>47</v>
      </c>
      <c r="O17">
        <v>2</v>
      </c>
      <c r="P17">
        <v>15</v>
      </c>
    </row>
    <row r="18" spans="1:16" x14ac:dyDescent="0.4">
      <c r="A18" t="s">
        <v>67</v>
      </c>
      <c r="B18">
        <v>16</v>
      </c>
      <c r="C18" t="s">
        <v>43</v>
      </c>
      <c r="D18" t="s">
        <v>49</v>
      </c>
      <c r="E18" t="s">
        <v>45</v>
      </c>
      <c r="F18">
        <v>0</v>
      </c>
      <c r="G18" t="s">
        <v>50</v>
      </c>
      <c r="H18" t="s">
        <v>47</v>
      </c>
      <c r="I18" t="s">
        <v>47</v>
      </c>
      <c r="J18">
        <v>3.5</v>
      </c>
      <c r="K18">
        <v>0</v>
      </c>
      <c r="L18">
        <v>0</v>
      </c>
      <c r="M18" t="s">
        <v>45</v>
      </c>
      <c r="N18" t="s">
        <v>47</v>
      </c>
      <c r="O18">
        <v>1</v>
      </c>
      <c r="P18">
        <v>11</v>
      </c>
    </row>
    <row r="19" spans="1:16" x14ac:dyDescent="0.4">
      <c r="A19" t="s">
        <v>68</v>
      </c>
      <c r="B19">
        <v>16</v>
      </c>
      <c r="C19" t="s">
        <v>56</v>
      </c>
      <c r="D19" t="s">
        <v>44</v>
      </c>
      <c r="E19" t="s">
        <v>45</v>
      </c>
      <c r="F19">
        <v>0</v>
      </c>
      <c r="G19" t="s">
        <v>46</v>
      </c>
      <c r="H19" t="s">
        <v>47</v>
      </c>
      <c r="I19" t="s">
        <v>47</v>
      </c>
      <c r="J19">
        <v>2.5</v>
      </c>
      <c r="K19">
        <v>0</v>
      </c>
      <c r="L19">
        <v>0</v>
      </c>
      <c r="M19" t="s">
        <v>45</v>
      </c>
      <c r="N19" t="s">
        <v>47</v>
      </c>
      <c r="O19">
        <v>1</v>
      </c>
      <c r="P19">
        <v>13</v>
      </c>
    </row>
    <row r="20" spans="1:16" x14ac:dyDescent="0.4">
      <c r="A20" t="s">
        <v>69</v>
      </c>
      <c r="B20">
        <v>16</v>
      </c>
      <c r="C20" t="s">
        <v>43</v>
      </c>
      <c r="D20" t="s">
        <v>44</v>
      </c>
      <c r="E20" t="s">
        <v>45</v>
      </c>
      <c r="F20">
        <v>0</v>
      </c>
      <c r="G20" t="s">
        <v>46</v>
      </c>
      <c r="H20" t="s">
        <v>47</v>
      </c>
      <c r="I20" t="s">
        <v>47</v>
      </c>
      <c r="J20">
        <v>1.25</v>
      </c>
      <c r="K20">
        <v>0</v>
      </c>
      <c r="L20">
        <v>4</v>
      </c>
      <c r="M20" t="s">
        <v>45</v>
      </c>
      <c r="N20" t="s">
        <v>47</v>
      </c>
      <c r="O20">
        <v>1</v>
      </c>
      <c r="P20">
        <v>12</v>
      </c>
    </row>
    <row r="21" spans="1:16" x14ac:dyDescent="0.4">
      <c r="A21" t="s">
        <v>70</v>
      </c>
      <c r="B21">
        <v>16</v>
      </c>
      <c r="C21" t="s">
        <v>43</v>
      </c>
      <c r="D21" t="s">
        <v>49</v>
      </c>
      <c r="E21" t="s">
        <v>47</v>
      </c>
      <c r="F21">
        <v>1</v>
      </c>
      <c r="G21" t="s">
        <v>50</v>
      </c>
      <c r="H21" t="s">
        <v>47</v>
      </c>
      <c r="I21" t="s">
        <v>47</v>
      </c>
      <c r="J21">
        <v>1.25</v>
      </c>
      <c r="K21">
        <v>0</v>
      </c>
      <c r="L21">
        <v>0</v>
      </c>
      <c r="M21" t="s">
        <v>45</v>
      </c>
      <c r="N21" t="s">
        <v>47</v>
      </c>
      <c r="O21">
        <v>2</v>
      </c>
      <c r="P21">
        <v>11</v>
      </c>
    </row>
    <row r="22" spans="1:16" x14ac:dyDescent="0.4">
      <c r="A22" t="s">
        <v>71</v>
      </c>
      <c r="B22">
        <v>17</v>
      </c>
      <c r="C22" t="s">
        <v>56</v>
      </c>
      <c r="D22" t="s">
        <v>44</v>
      </c>
      <c r="E22" t="s">
        <v>45</v>
      </c>
      <c r="F22">
        <v>2</v>
      </c>
      <c r="G22" t="s">
        <v>50</v>
      </c>
      <c r="H22" t="s">
        <v>47</v>
      </c>
      <c r="I22" t="s">
        <v>47</v>
      </c>
      <c r="J22">
        <v>2.25</v>
      </c>
      <c r="K22">
        <v>0</v>
      </c>
      <c r="L22">
        <v>0</v>
      </c>
      <c r="M22" t="s">
        <v>45</v>
      </c>
      <c r="N22" t="s">
        <v>47</v>
      </c>
      <c r="O22">
        <v>1</v>
      </c>
      <c r="P22">
        <v>16</v>
      </c>
    </row>
    <row r="23" spans="1:16" x14ac:dyDescent="0.4">
      <c r="A23" t="s">
        <v>72</v>
      </c>
      <c r="B23">
        <v>15</v>
      </c>
      <c r="C23" t="s">
        <v>56</v>
      </c>
      <c r="D23" t="s">
        <v>49</v>
      </c>
      <c r="E23" t="s">
        <v>45</v>
      </c>
      <c r="F23">
        <v>0</v>
      </c>
      <c r="G23" t="s">
        <v>50</v>
      </c>
      <c r="H23" t="s">
        <v>47</v>
      </c>
      <c r="I23" t="s">
        <v>47</v>
      </c>
      <c r="J23">
        <v>4.25</v>
      </c>
      <c r="K23">
        <v>0</v>
      </c>
      <c r="L23">
        <v>4</v>
      </c>
      <c r="M23" t="s">
        <v>45</v>
      </c>
      <c r="N23" t="s">
        <v>45</v>
      </c>
      <c r="O23">
        <v>1</v>
      </c>
      <c r="P23">
        <v>12</v>
      </c>
    </row>
    <row r="24" spans="1:16" x14ac:dyDescent="0.4">
      <c r="A24" t="s">
        <v>73</v>
      </c>
      <c r="B24">
        <v>16</v>
      </c>
      <c r="C24" t="s">
        <v>56</v>
      </c>
      <c r="D24" t="s">
        <v>44</v>
      </c>
      <c r="E24" t="s">
        <v>47</v>
      </c>
      <c r="F24">
        <v>1</v>
      </c>
      <c r="G24" t="s">
        <v>46</v>
      </c>
      <c r="H24" t="s">
        <v>45</v>
      </c>
      <c r="I24" t="s">
        <v>47</v>
      </c>
      <c r="J24">
        <v>3.75</v>
      </c>
      <c r="K24">
        <v>0</v>
      </c>
      <c r="L24">
        <v>2</v>
      </c>
      <c r="M24" t="s">
        <v>45</v>
      </c>
      <c r="N24" t="s">
        <v>45</v>
      </c>
      <c r="O24">
        <v>1</v>
      </c>
      <c r="P24">
        <v>13</v>
      </c>
    </row>
    <row r="25" spans="1:16" x14ac:dyDescent="0.4">
      <c r="A25" t="s">
        <v>74</v>
      </c>
      <c r="B25">
        <v>16</v>
      </c>
      <c r="C25" t="s">
        <v>56</v>
      </c>
      <c r="D25" t="s">
        <v>44</v>
      </c>
      <c r="E25" t="s">
        <v>45</v>
      </c>
      <c r="F25">
        <v>0</v>
      </c>
      <c r="G25" t="s">
        <v>46</v>
      </c>
      <c r="H25" t="s">
        <v>47</v>
      </c>
      <c r="I25" t="s">
        <v>47</v>
      </c>
      <c r="J25">
        <v>1.5</v>
      </c>
      <c r="K25">
        <v>1</v>
      </c>
      <c r="L25">
        <v>12</v>
      </c>
      <c r="M25" t="s">
        <v>45</v>
      </c>
      <c r="N25" t="s">
        <v>47</v>
      </c>
      <c r="O25">
        <v>1</v>
      </c>
      <c r="P25">
        <v>11</v>
      </c>
    </row>
    <row r="26" spans="1:16" x14ac:dyDescent="0.4">
      <c r="A26" t="s">
        <v>75</v>
      </c>
      <c r="B26">
        <v>18</v>
      </c>
      <c r="C26" t="s">
        <v>56</v>
      </c>
      <c r="D26" t="s">
        <v>44</v>
      </c>
      <c r="E26" t="s">
        <v>45</v>
      </c>
      <c r="F26">
        <v>0</v>
      </c>
      <c r="G26" t="s">
        <v>46</v>
      </c>
      <c r="H26" t="s">
        <v>47</v>
      </c>
      <c r="I26" t="s">
        <v>47</v>
      </c>
      <c r="J26">
        <v>4</v>
      </c>
      <c r="K26">
        <v>0</v>
      </c>
      <c r="L26">
        <v>8</v>
      </c>
      <c r="M26" t="s">
        <v>45</v>
      </c>
      <c r="N26" t="s">
        <v>45</v>
      </c>
      <c r="O26">
        <v>1</v>
      </c>
      <c r="P26">
        <v>15</v>
      </c>
    </row>
    <row r="27" spans="1:16" x14ac:dyDescent="0.4">
      <c r="A27" t="s">
        <v>76</v>
      </c>
      <c r="B27">
        <v>18</v>
      </c>
      <c r="C27" t="s">
        <v>56</v>
      </c>
      <c r="D27" t="s">
        <v>49</v>
      </c>
      <c r="E27" t="s">
        <v>47</v>
      </c>
      <c r="F27">
        <v>0</v>
      </c>
      <c r="G27" t="s">
        <v>50</v>
      </c>
      <c r="H27" t="s">
        <v>45</v>
      </c>
      <c r="I27" t="s">
        <v>47</v>
      </c>
      <c r="J27">
        <v>3.75</v>
      </c>
      <c r="K27">
        <v>1</v>
      </c>
      <c r="L27">
        <v>3</v>
      </c>
      <c r="M27" t="s">
        <v>45</v>
      </c>
      <c r="N27" t="s">
        <v>47</v>
      </c>
      <c r="O27">
        <v>1</v>
      </c>
      <c r="P27">
        <v>8</v>
      </c>
    </row>
    <row r="28" spans="1:16" x14ac:dyDescent="0.4">
      <c r="A28" t="s">
        <v>77</v>
      </c>
      <c r="B28">
        <v>15</v>
      </c>
      <c r="C28" t="s">
        <v>56</v>
      </c>
      <c r="D28" t="s">
        <v>49</v>
      </c>
      <c r="E28" t="s">
        <v>45</v>
      </c>
      <c r="F28">
        <v>0</v>
      </c>
      <c r="G28" t="s">
        <v>46</v>
      </c>
      <c r="H28" t="s">
        <v>45</v>
      </c>
      <c r="I28" t="s">
        <v>47</v>
      </c>
      <c r="J28">
        <v>0.75</v>
      </c>
      <c r="K28">
        <v>1</v>
      </c>
      <c r="L28">
        <v>2</v>
      </c>
      <c r="M28" t="s">
        <v>45</v>
      </c>
      <c r="N28" t="s">
        <v>45</v>
      </c>
      <c r="O28">
        <v>1</v>
      </c>
      <c r="P28">
        <v>9</v>
      </c>
    </row>
    <row r="29" spans="1:16" x14ac:dyDescent="0.4">
      <c r="A29" t="s">
        <v>78</v>
      </c>
      <c r="B29">
        <v>15</v>
      </c>
      <c r="C29" t="s">
        <v>56</v>
      </c>
      <c r="D29" t="s">
        <v>44</v>
      </c>
      <c r="E29" t="s">
        <v>45</v>
      </c>
      <c r="F29">
        <v>0</v>
      </c>
      <c r="G29" t="s">
        <v>46</v>
      </c>
      <c r="H29" t="s">
        <v>47</v>
      </c>
      <c r="I29" t="s">
        <v>45</v>
      </c>
      <c r="J29">
        <v>11.75</v>
      </c>
      <c r="K29">
        <v>0</v>
      </c>
      <c r="L29">
        <v>10</v>
      </c>
      <c r="M29" t="s">
        <v>45</v>
      </c>
      <c r="N29" t="s">
        <v>47</v>
      </c>
      <c r="O29">
        <v>1</v>
      </c>
      <c r="P29">
        <v>10</v>
      </c>
    </row>
    <row r="30" spans="1:16" x14ac:dyDescent="0.4">
      <c r="A30" t="s">
        <v>79</v>
      </c>
      <c r="B30">
        <v>15</v>
      </c>
      <c r="C30" t="s">
        <v>43</v>
      </c>
      <c r="D30" t="s">
        <v>44</v>
      </c>
      <c r="E30" t="s">
        <v>45</v>
      </c>
      <c r="F30">
        <v>0</v>
      </c>
      <c r="G30" t="s">
        <v>46</v>
      </c>
      <c r="H30" t="s">
        <v>47</v>
      </c>
      <c r="I30" t="s">
        <v>45</v>
      </c>
      <c r="J30">
        <v>6</v>
      </c>
      <c r="K30">
        <v>0</v>
      </c>
      <c r="L30">
        <v>2</v>
      </c>
      <c r="M30" t="s">
        <v>45</v>
      </c>
      <c r="N30" t="s">
        <v>47</v>
      </c>
      <c r="O30">
        <v>1</v>
      </c>
      <c r="P30">
        <v>9</v>
      </c>
    </row>
    <row r="31" spans="1:16" x14ac:dyDescent="0.4">
      <c r="A31" t="s">
        <v>80</v>
      </c>
      <c r="B31">
        <v>15</v>
      </c>
      <c r="C31" t="s">
        <v>56</v>
      </c>
      <c r="D31" t="s">
        <v>44</v>
      </c>
      <c r="E31" t="s">
        <v>45</v>
      </c>
      <c r="F31">
        <v>2</v>
      </c>
      <c r="G31" t="s">
        <v>46</v>
      </c>
      <c r="H31" t="s">
        <v>47</v>
      </c>
      <c r="I31" t="s">
        <v>47</v>
      </c>
      <c r="J31">
        <v>2</v>
      </c>
      <c r="K31">
        <v>0</v>
      </c>
      <c r="L31">
        <v>4</v>
      </c>
      <c r="M31" t="s">
        <v>45</v>
      </c>
      <c r="N31" t="s">
        <v>45</v>
      </c>
      <c r="O31">
        <v>2</v>
      </c>
      <c r="P31">
        <v>12</v>
      </c>
    </row>
    <row r="32" spans="1:16" x14ac:dyDescent="0.4">
      <c r="A32" t="s">
        <v>81</v>
      </c>
      <c r="B32">
        <v>16</v>
      </c>
      <c r="C32" t="s">
        <v>56</v>
      </c>
      <c r="D32" t="s">
        <v>44</v>
      </c>
      <c r="E32" t="s">
        <v>45</v>
      </c>
      <c r="F32">
        <v>0</v>
      </c>
      <c r="G32" t="s">
        <v>46</v>
      </c>
      <c r="H32" t="s">
        <v>45</v>
      </c>
      <c r="I32" t="s">
        <v>47</v>
      </c>
      <c r="J32">
        <v>4.5</v>
      </c>
      <c r="K32">
        <v>0</v>
      </c>
      <c r="L32">
        <v>0</v>
      </c>
      <c r="M32" t="s">
        <v>45</v>
      </c>
      <c r="N32" t="s">
        <v>47</v>
      </c>
      <c r="O32">
        <v>2</v>
      </c>
      <c r="P32">
        <v>14</v>
      </c>
    </row>
    <row r="33" spans="1:16" x14ac:dyDescent="0.4">
      <c r="A33" t="s">
        <v>82</v>
      </c>
      <c r="B33">
        <v>15</v>
      </c>
      <c r="C33" t="s">
        <v>56</v>
      </c>
      <c r="D33" t="s">
        <v>49</v>
      </c>
      <c r="E33" t="s">
        <v>45</v>
      </c>
      <c r="F33">
        <v>0</v>
      </c>
      <c r="G33" t="s">
        <v>46</v>
      </c>
      <c r="H33" t="s">
        <v>47</v>
      </c>
      <c r="I33" t="s">
        <v>45</v>
      </c>
      <c r="J33">
        <v>3.5</v>
      </c>
      <c r="K33">
        <v>0</v>
      </c>
      <c r="L33">
        <v>2</v>
      </c>
      <c r="M33" t="s">
        <v>45</v>
      </c>
      <c r="N33" t="s">
        <v>45</v>
      </c>
      <c r="O33">
        <v>3</v>
      </c>
      <c r="P33">
        <v>11</v>
      </c>
    </row>
    <row r="34" spans="1:16" x14ac:dyDescent="0.4">
      <c r="A34" t="s">
        <v>83</v>
      </c>
      <c r="B34">
        <v>18</v>
      </c>
      <c r="C34" t="s">
        <v>43</v>
      </c>
      <c r="D34" t="s">
        <v>44</v>
      </c>
      <c r="E34" t="s">
        <v>47</v>
      </c>
      <c r="F34">
        <v>0</v>
      </c>
      <c r="G34" t="s">
        <v>50</v>
      </c>
      <c r="H34" t="s">
        <v>47</v>
      </c>
      <c r="I34" t="s">
        <v>47</v>
      </c>
      <c r="J34">
        <v>1.25</v>
      </c>
      <c r="K34">
        <v>0</v>
      </c>
      <c r="L34">
        <v>0</v>
      </c>
      <c r="M34" t="s">
        <v>47</v>
      </c>
      <c r="N34" t="s">
        <v>45</v>
      </c>
      <c r="O34">
        <v>2</v>
      </c>
      <c r="P34">
        <v>9</v>
      </c>
    </row>
    <row r="35" spans="1:16" x14ac:dyDescent="0.4">
      <c r="A35" t="s">
        <v>84</v>
      </c>
      <c r="B35">
        <v>17</v>
      </c>
      <c r="C35" t="s">
        <v>56</v>
      </c>
      <c r="D35" t="s">
        <v>49</v>
      </c>
      <c r="E35" t="s">
        <v>45</v>
      </c>
      <c r="F35">
        <v>1</v>
      </c>
      <c r="G35" t="s">
        <v>50</v>
      </c>
      <c r="H35" t="s">
        <v>47</v>
      </c>
      <c r="I35" t="s">
        <v>45</v>
      </c>
      <c r="J35">
        <v>2.5</v>
      </c>
      <c r="K35">
        <v>0</v>
      </c>
      <c r="L35">
        <v>0</v>
      </c>
      <c r="M35" t="s">
        <v>45</v>
      </c>
      <c r="N35" t="s">
        <v>47</v>
      </c>
      <c r="O35">
        <v>2</v>
      </c>
      <c r="P35">
        <v>18</v>
      </c>
    </row>
    <row r="36" spans="1:16" x14ac:dyDescent="0.4">
      <c r="A36" t="s">
        <v>85</v>
      </c>
      <c r="B36">
        <v>15</v>
      </c>
      <c r="C36" t="s">
        <v>56</v>
      </c>
      <c r="D36" t="s">
        <v>49</v>
      </c>
      <c r="E36" t="s">
        <v>47</v>
      </c>
      <c r="F36">
        <v>0</v>
      </c>
      <c r="G36" t="s">
        <v>46</v>
      </c>
      <c r="H36" t="s">
        <v>47</v>
      </c>
      <c r="I36" t="s">
        <v>45</v>
      </c>
      <c r="J36">
        <v>4.25</v>
      </c>
      <c r="K36">
        <v>0</v>
      </c>
      <c r="L36">
        <v>0</v>
      </c>
      <c r="M36" t="s">
        <v>45</v>
      </c>
      <c r="N36" t="s">
        <v>47</v>
      </c>
      <c r="O36">
        <v>2</v>
      </c>
      <c r="P36">
        <v>11</v>
      </c>
    </row>
    <row r="37" spans="1:16" x14ac:dyDescent="0.4">
      <c r="A37" t="s">
        <v>86</v>
      </c>
      <c r="B37">
        <v>17</v>
      </c>
      <c r="C37" t="s">
        <v>43</v>
      </c>
      <c r="D37" t="s">
        <v>44</v>
      </c>
      <c r="E37" t="s">
        <v>45</v>
      </c>
      <c r="F37">
        <v>0</v>
      </c>
      <c r="G37" t="s">
        <v>50</v>
      </c>
      <c r="H37" t="s">
        <v>45</v>
      </c>
      <c r="I37" t="s">
        <v>47</v>
      </c>
      <c r="J37">
        <v>2.75</v>
      </c>
      <c r="K37">
        <v>0</v>
      </c>
      <c r="L37">
        <v>4</v>
      </c>
      <c r="M37" t="s">
        <v>45</v>
      </c>
      <c r="N37" t="s">
        <v>47</v>
      </c>
      <c r="O37">
        <v>1</v>
      </c>
      <c r="P37">
        <v>16</v>
      </c>
    </row>
    <row r="38" spans="1:16" x14ac:dyDescent="0.4">
      <c r="A38" t="s">
        <v>87</v>
      </c>
      <c r="B38">
        <v>18</v>
      </c>
      <c r="C38" t="s">
        <v>43</v>
      </c>
      <c r="D38" t="s">
        <v>49</v>
      </c>
      <c r="E38" t="s">
        <v>45</v>
      </c>
      <c r="F38">
        <v>0</v>
      </c>
      <c r="G38" t="s">
        <v>46</v>
      </c>
      <c r="H38" t="s">
        <v>45</v>
      </c>
      <c r="I38" t="s">
        <v>47</v>
      </c>
      <c r="J38">
        <v>6.5</v>
      </c>
      <c r="K38">
        <v>0</v>
      </c>
      <c r="L38">
        <v>2</v>
      </c>
      <c r="M38" t="s">
        <v>45</v>
      </c>
      <c r="N38" t="s">
        <v>47</v>
      </c>
      <c r="O38">
        <v>1</v>
      </c>
      <c r="P38">
        <v>12</v>
      </c>
    </row>
    <row r="39" spans="1:16" x14ac:dyDescent="0.4">
      <c r="A39" t="s">
        <v>88</v>
      </c>
      <c r="B39">
        <v>15</v>
      </c>
      <c r="C39" t="s">
        <v>43</v>
      </c>
      <c r="D39" t="s">
        <v>44</v>
      </c>
      <c r="E39" t="s">
        <v>45</v>
      </c>
      <c r="F39">
        <v>1</v>
      </c>
      <c r="G39" t="s">
        <v>46</v>
      </c>
      <c r="H39" t="s">
        <v>47</v>
      </c>
      <c r="I39" t="s">
        <v>47</v>
      </c>
      <c r="J39">
        <v>3.5</v>
      </c>
      <c r="K39">
        <v>0</v>
      </c>
      <c r="L39">
        <v>0</v>
      </c>
      <c r="M39" t="s">
        <v>45</v>
      </c>
      <c r="N39" t="s">
        <v>47</v>
      </c>
      <c r="O39">
        <v>1</v>
      </c>
      <c r="P39">
        <v>13</v>
      </c>
    </row>
    <row r="40" spans="1:16" x14ac:dyDescent="0.4">
      <c r="A40" t="s">
        <v>89</v>
      </c>
      <c r="B40">
        <v>17</v>
      </c>
      <c r="C40" t="s">
        <v>56</v>
      </c>
      <c r="D40" t="s">
        <v>44</v>
      </c>
      <c r="E40" t="s">
        <v>45</v>
      </c>
      <c r="F40">
        <v>0</v>
      </c>
      <c r="G40" t="s">
        <v>50</v>
      </c>
      <c r="H40" t="s">
        <v>45</v>
      </c>
      <c r="I40" t="s">
        <v>47</v>
      </c>
      <c r="J40">
        <v>0.5</v>
      </c>
      <c r="K40">
        <v>0</v>
      </c>
      <c r="L40">
        <v>5</v>
      </c>
      <c r="M40" t="s">
        <v>45</v>
      </c>
      <c r="N40" t="s">
        <v>47</v>
      </c>
      <c r="O40">
        <v>4</v>
      </c>
      <c r="P40">
        <v>10</v>
      </c>
    </row>
    <row r="41" spans="1:16" x14ac:dyDescent="0.4">
      <c r="A41" t="s">
        <v>90</v>
      </c>
      <c r="B41">
        <v>15</v>
      </c>
      <c r="C41" t="s">
        <v>43</v>
      </c>
      <c r="D41" t="s">
        <v>44</v>
      </c>
      <c r="E41" t="s">
        <v>45</v>
      </c>
      <c r="F41">
        <v>1</v>
      </c>
      <c r="G41" t="s">
        <v>46</v>
      </c>
      <c r="H41" t="s">
        <v>47</v>
      </c>
      <c r="I41" t="s">
        <v>45</v>
      </c>
      <c r="J41">
        <v>0</v>
      </c>
      <c r="K41">
        <v>0</v>
      </c>
      <c r="L41">
        <v>2</v>
      </c>
      <c r="M41" t="s">
        <v>45</v>
      </c>
      <c r="N41" t="s">
        <v>47</v>
      </c>
      <c r="O41">
        <v>3</v>
      </c>
      <c r="P41">
        <v>9</v>
      </c>
    </row>
    <row r="42" spans="1:16" x14ac:dyDescent="0.4">
      <c r="A42" t="s">
        <v>91</v>
      </c>
      <c r="B42">
        <v>17</v>
      </c>
      <c r="C42" t="s">
        <v>43</v>
      </c>
      <c r="D42" t="s">
        <v>49</v>
      </c>
      <c r="E42" t="s">
        <v>45</v>
      </c>
      <c r="F42">
        <v>0</v>
      </c>
      <c r="G42" t="s">
        <v>50</v>
      </c>
      <c r="H42" t="s">
        <v>47</v>
      </c>
      <c r="I42" t="s">
        <v>47</v>
      </c>
      <c r="J42">
        <v>0</v>
      </c>
      <c r="K42">
        <v>0</v>
      </c>
      <c r="L42">
        <v>4</v>
      </c>
      <c r="M42" t="s">
        <v>47</v>
      </c>
      <c r="N42" t="s">
        <v>47</v>
      </c>
      <c r="O42">
        <v>3</v>
      </c>
      <c r="P42">
        <v>14</v>
      </c>
    </row>
    <row r="43" spans="1:16" x14ac:dyDescent="0.4">
      <c r="A43" t="s">
        <v>92</v>
      </c>
      <c r="B43">
        <v>19</v>
      </c>
      <c r="C43" t="s">
        <v>56</v>
      </c>
      <c r="D43" t="s">
        <v>44</v>
      </c>
      <c r="E43" t="s">
        <v>45</v>
      </c>
      <c r="F43">
        <v>0</v>
      </c>
      <c r="G43" t="s">
        <v>50</v>
      </c>
      <c r="H43" t="s">
        <v>45</v>
      </c>
      <c r="I43" t="s">
        <v>47</v>
      </c>
      <c r="J43">
        <v>8.5</v>
      </c>
      <c r="K43">
        <v>1</v>
      </c>
      <c r="L43">
        <v>6</v>
      </c>
      <c r="M43" t="s">
        <v>47</v>
      </c>
      <c r="N43" t="s">
        <v>45</v>
      </c>
      <c r="O43">
        <v>1</v>
      </c>
      <c r="P43">
        <v>9</v>
      </c>
    </row>
    <row r="44" spans="1:16" x14ac:dyDescent="0.4">
      <c r="A44" t="s">
        <v>93</v>
      </c>
      <c r="B44">
        <v>18</v>
      </c>
      <c r="C44" t="s">
        <v>43</v>
      </c>
      <c r="D44" t="s">
        <v>49</v>
      </c>
      <c r="E44" t="s">
        <v>47</v>
      </c>
      <c r="F44">
        <v>0</v>
      </c>
      <c r="G44" t="s">
        <v>46</v>
      </c>
      <c r="H44" t="s">
        <v>45</v>
      </c>
      <c r="I44" t="s">
        <v>47</v>
      </c>
      <c r="J44">
        <v>8.5</v>
      </c>
      <c r="K44">
        <v>0</v>
      </c>
      <c r="L44">
        <v>0</v>
      </c>
      <c r="M44" t="s">
        <v>45</v>
      </c>
      <c r="N44" t="s">
        <v>47</v>
      </c>
      <c r="O44">
        <v>1</v>
      </c>
      <c r="P44">
        <v>15</v>
      </c>
    </row>
    <row r="45" spans="1:16" x14ac:dyDescent="0.4">
      <c r="A45" t="s">
        <v>94</v>
      </c>
      <c r="B45">
        <v>17</v>
      </c>
      <c r="C45" t="s">
        <v>56</v>
      </c>
      <c r="D45" t="s">
        <v>44</v>
      </c>
      <c r="E45" t="s">
        <v>47</v>
      </c>
      <c r="F45">
        <v>1</v>
      </c>
      <c r="G45" t="s">
        <v>46</v>
      </c>
      <c r="H45" t="s">
        <v>45</v>
      </c>
      <c r="I45" t="s">
        <v>47</v>
      </c>
      <c r="J45">
        <v>3</v>
      </c>
      <c r="K45">
        <v>0</v>
      </c>
      <c r="L45">
        <v>8</v>
      </c>
      <c r="M45" t="s">
        <v>45</v>
      </c>
      <c r="N45" t="s">
        <v>45</v>
      </c>
      <c r="O45">
        <v>1</v>
      </c>
      <c r="P45">
        <v>16</v>
      </c>
    </row>
    <row r="46" spans="1:16" x14ac:dyDescent="0.4">
      <c r="A46" t="s">
        <v>95</v>
      </c>
      <c r="B46">
        <v>17</v>
      </c>
      <c r="C46" t="s">
        <v>56</v>
      </c>
      <c r="D46" t="s">
        <v>44</v>
      </c>
      <c r="E46" t="s">
        <v>45</v>
      </c>
      <c r="F46">
        <v>0</v>
      </c>
      <c r="G46" t="s">
        <v>50</v>
      </c>
      <c r="H46" t="s">
        <v>45</v>
      </c>
      <c r="I46" t="s">
        <v>47</v>
      </c>
      <c r="J46">
        <v>0</v>
      </c>
      <c r="K46">
        <v>0</v>
      </c>
      <c r="L46">
        <v>4</v>
      </c>
      <c r="M46" t="s">
        <v>47</v>
      </c>
      <c r="N46" t="s">
        <v>47</v>
      </c>
      <c r="O46">
        <v>1</v>
      </c>
      <c r="P46">
        <v>10</v>
      </c>
    </row>
    <row r="47" spans="1:16" x14ac:dyDescent="0.4">
      <c r="A47" t="s">
        <v>96</v>
      </c>
      <c r="B47">
        <v>16</v>
      </c>
      <c r="C47" t="s">
        <v>43</v>
      </c>
      <c r="D47" t="s">
        <v>49</v>
      </c>
      <c r="E47" t="s">
        <v>47</v>
      </c>
      <c r="F47">
        <v>2</v>
      </c>
      <c r="G47" t="s">
        <v>50</v>
      </c>
      <c r="H47" t="s">
        <v>47</v>
      </c>
      <c r="I47" t="s">
        <v>47</v>
      </c>
      <c r="J47">
        <v>2.25</v>
      </c>
      <c r="K47">
        <v>0</v>
      </c>
      <c r="L47">
        <v>5</v>
      </c>
      <c r="M47" t="s">
        <v>45</v>
      </c>
      <c r="N47" t="s">
        <v>47</v>
      </c>
      <c r="O47">
        <v>2</v>
      </c>
      <c r="P47">
        <v>11</v>
      </c>
    </row>
    <row r="48" spans="1:16" x14ac:dyDescent="0.4">
      <c r="A48" t="s">
        <v>97</v>
      </c>
      <c r="B48">
        <v>17</v>
      </c>
      <c r="C48" t="s">
        <v>56</v>
      </c>
      <c r="D48" t="s">
        <v>44</v>
      </c>
      <c r="E48" t="s">
        <v>45</v>
      </c>
      <c r="F48">
        <v>0</v>
      </c>
      <c r="G48" t="s">
        <v>46</v>
      </c>
      <c r="H48" t="s">
        <v>47</v>
      </c>
      <c r="I48" t="s">
        <v>45</v>
      </c>
      <c r="J48">
        <v>3</v>
      </c>
      <c r="K48">
        <v>0</v>
      </c>
      <c r="L48">
        <v>10</v>
      </c>
      <c r="M48" t="s">
        <v>45</v>
      </c>
      <c r="N48" t="s">
        <v>45</v>
      </c>
      <c r="O48">
        <v>1</v>
      </c>
      <c r="P48">
        <v>10</v>
      </c>
    </row>
    <row r="49" spans="1:16" x14ac:dyDescent="0.4">
      <c r="A49" t="s">
        <v>98</v>
      </c>
      <c r="B49">
        <v>17</v>
      </c>
      <c r="C49" t="s">
        <v>56</v>
      </c>
      <c r="D49" t="s">
        <v>44</v>
      </c>
      <c r="E49" t="s">
        <v>45</v>
      </c>
      <c r="F49">
        <v>1</v>
      </c>
      <c r="G49" t="s">
        <v>46</v>
      </c>
      <c r="H49" t="s">
        <v>47</v>
      </c>
      <c r="I49" t="s">
        <v>47</v>
      </c>
      <c r="J49">
        <v>9.75</v>
      </c>
      <c r="K49">
        <v>0</v>
      </c>
      <c r="L49">
        <v>0</v>
      </c>
      <c r="M49" t="s">
        <v>45</v>
      </c>
      <c r="N49" t="s">
        <v>47</v>
      </c>
      <c r="O49">
        <v>1</v>
      </c>
      <c r="P49">
        <v>16</v>
      </c>
    </row>
    <row r="50" spans="1:16" x14ac:dyDescent="0.4">
      <c r="A50" t="s">
        <v>99</v>
      </c>
      <c r="B50">
        <v>18</v>
      </c>
      <c r="C50" t="s">
        <v>56</v>
      </c>
      <c r="D50" t="s">
        <v>44</v>
      </c>
      <c r="E50" t="s">
        <v>47</v>
      </c>
      <c r="F50">
        <v>0</v>
      </c>
      <c r="G50" t="s">
        <v>46</v>
      </c>
      <c r="H50" t="s">
        <v>47</v>
      </c>
      <c r="I50" t="s">
        <v>47</v>
      </c>
      <c r="J50">
        <v>2.5</v>
      </c>
      <c r="K50">
        <v>0</v>
      </c>
      <c r="L50">
        <v>2</v>
      </c>
      <c r="M50" t="s">
        <v>45</v>
      </c>
      <c r="N50" t="s">
        <v>45</v>
      </c>
      <c r="O50">
        <v>2</v>
      </c>
      <c r="P50">
        <v>13</v>
      </c>
    </row>
    <row r="51" spans="1:16" x14ac:dyDescent="0.4">
      <c r="A51" t="s">
        <v>100</v>
      </c>
      <c r="B51">
        <v>17</v>
      </c>
      <c r="C51" t="s">
        <v>56</v>
      </c>
      <c r="D51" t="s">
        <v>49</v>
      </c>
      <c r="E51" t="s">
        <v>45</v>
      </c>
      <c r="F51">
        <v>0</v>
      </c>
      <c r="G51" t="s">
        <v>50</v>
      </c>
      <c r="H51" t="s">
        <v>47</v>
      </c>
      <c r="I51" t="s">
        <v>45</v>
      </c>
      <c r="J51">
        <v>4</v>
      </c>
      <c r="K51">
        <v>0</v>
      </c>
      <c r="L51">
        <v>0</v>
      </c>
      <c r="M51" t="s">
        <v>45</v>
      </c>
      <c r="N51" t="s">
        <v>47</v>
      </c>
      <c r="O51">
        <v>1</v>
      </c>
      <c r="P51">
        <v>11</v>
      </c>
    </row>
    <row r="52" spans="1:16" x14ac:dyDescent="0.4">
      <c r="A52" t="s">
        <v>101</v>
      </c>
      <c r="B52">
        <v>18</v>
      </c>
      <c r="C52" t="s">
        <v>43</v>
      </c>
      <c r="D52" t="s">
        <v>44</v>
      </c>
      <c r="E52" t="s">
        <v>47</v>
      </c>
      <c r="F52">
        <v>2</v>
      </c>
      <c r="G52" t="s">
        <v>46</v>
      </c>
      <c r="H52" t="s">
        <v>47</v>
      </c>
      <c r="I52" t="s">
        <v>47</v>
      </c>
      <c r="J52">
        <v>0.5</v>
      </c>
      <c r="K52">
        <v>0</v>
      </c>
      <c r="L52">
        <v>0</v>
      </c>
      <c r="M52" t="s">
        <v>45</v>
      </c>
      <c r="N52" t="s">
        <v>45</v>
      </c>
      <c r="O52">
        <v>2</v>
      </c>
      <c r="P52">
        <v>17</v>
      </c>
    </row>
    <row r="53" spans="1:16" x14ac:dyDescent="0.4">
      <c r="A53" t="s">
        <v>102</v>
      </c>
      <c r="B53">
        <v>17</v>
      </c>
      <c r="C53" t="s">
        <v>56</v>
      </c>
      <c r="D53" t="s">
        <v>44</v>
      </c>
      <c r="E53" t="s">
        <v>45</v>
      </c>
      <c r="F53">
        <v>2</v>
      </c>
      <c r="G53" t="s">
        <v>46</v>
      </c>
      <c r="H53" t="s">
        <v>45</v>
      </c>
      <c r="I53" t="s">
        <v>47</v>
      </c>
      <c r="J53">
        <v>0</v>
      </c>
      <c r="K53">
        <v>0</v>
      </c>
      <c r="L53">
        <v>2</v>
      </c>
      <c r="M53" t="s">
        <v>45</v>
      </c>
      <c r="N53" t="s">
        <v>47</v>
      </c>
      <c r="O53">
        <v>1</v>
      </c>
      <c r="P53">
        <v>17</v>
      </c>
    </row>
    <row r="54" spans="1:16" x14ac:dyDescent="0.4">
      <c r="A54" t="s">
        <v>103</v>
      </c>
      <c r="B54">
        <v>15</v>
      </c>
      <c r="C54" t="s">
        <v>56</v>
      </c>
      <c r="D54" t="s">
        <v>49</v>
      </c>
      <c r="E54" t="s">
        <v>45</v>
      </c>
      <c r="F54">
        <v>1</v>
      </c>
      <c r="G54" t="s">
        <v>46</v>
      </c>
      <c r="H54" t="s">
        <v>47</v>
      </c>
      <c r="I54" t="s">
        <v>47</v>
      </c>
      <c r="J54">
        <v>8.25</v>
      </c>
      <c r="K54">
        <v>0</v>
      </c>
      <c r="L54">
        <v>0</v>
      </c>
      <c r="M54" t="s">
        <v>45</v>
      </c>
      <c r="N54" t="s">
        <v>45</v>
      </c>
      <c r="O54">
        <v>2</v>
      </c>
      <c r="P54">
        <v>12</v>
      </c>
    </row>
    <row r="55" spans="1:16" x14ac:dyDescent="0.4">
      <c r="A55" t="s">
        <v>104</v>
      </c>
      <c r="B55">
        <v>16</v>
      </c>
      <c r="C55" t="s">
        <v>43</v>
      </c>
      <c r="D55" t="s">
        <v>49</v>
      </c>
      <c r="E55" t="s">
        <v>45</v>
      </c>
      <c r="F55">
        <v>2</v>
      </c>
      <c r="G55" t="s">
        <v>46</v>
      </c>
      <c r="H55" t="s">
        <v>45</v>
      </c>
      <c r="I55" t="s">
        <v>47</v>
      </c>
      <c r="J55">
        <v>0.25</v>
      </c>
      <c r="K55">
        <v>0</v>
      </c>
      <c r="L55">
        <v>8</v>
      </c>
      <c r="M55" t="s">
        <v>45</v>
      </c>
      <c r="N55" t="s">
        <v>47</v>
      </c>
      <c r="O55">
        <v>3</v>
      </c>
      <c r="P55">
        <v>15</v>
      </c>
    </row>
    <row r="56" spans="1:16" x14ac:dyDescent="0.4">
      <c r="A56" t="s">
        <v>105</v>
      </c>
      <c r="B56">
        <v>17</v>
      </c>
      <c r="C56" t="s">
        <v>56</v>
      </c>
      <c r="D56" t="s">
        <v>44</v>
      </c>
      <c r="E56" t="s">
        <v>45</v>
      </c>
      <c r="F56">
        <v>1</v>
      </c>
      <c r="G56" t="s">
        <v>46</v>
      </c>
      <c r="H56" t="s">
        <v>47</v>
      </c>
      <c r="I56" t="s">
        <v>47</v>
      </c>
      <c r="J56">
        <v>8.75</v>
      </c>
      <c r="K56">
        <v>0</v>
      </c>
      <c r="L56">
        <v>8</v>
      </c>
      <c r="M56" t="s">
        <v>45</v>
      </c>
      <c r="N56" t="s">
        <v>47</v>
      </c>
      <c r="O56">
        <v>2</v>
      </c>
      <c r="P56">
        <v>14</v>
      </c>
    </row>
    <row r="57" spans="1:16" x14ac:dyDescent="0.4">
      <c r="A57" t="s">
        <v>106</v>
      </c>
      <c r="B57">
        <v>18</v>
      </c>
      <c r="C57" t="s">
        <v>43</v>
      </c>
      <c r="D57" t="s">
        <v>44</v>
      </c>
      <c r="E57" t="s">
        <v>47</v>
      </c>
      <c r="F57">
        <v>1</v>
      </c>
      <c r="G57" t="s">
        <v>46</v>
      </c>
      <c r="H57" t="s">
        <v>45</v>
      </c>
      <c r="I57" t="s">
        <v>47</v>
      </c>
      <c r="J57">
        <v>0.75</v>
      </c>
      <c r="K57">
        <v>0</v>
      </c>
      <c r="L57">
        <v>0</v>
      </c>
      <c r="M57" t="s">
        <v>45</v>
      </c>
      <c r="N57" t="s">
        <v>47</v>
      </c>
      <c r="O57">
        <v>1</v>
      </c>
      <c r="P57">
        <v>10</v>
      </c>
    </row>
    <row r="58" spans="1:16" x14ac:dyDescent="0.4">
      <c r="A58" t="s">
        <v>107</v>
      </c>
      <c r="B58">
        <v>18</v>
      </c>
      <c r="C58" t="s">
        <v>43</v>
      </c>
      <c r="D58" t="s">
        <v>49</v>
      </c>
      <c r="E58" t="s">
        <v>47</v>
      </c>
      <c r="F58">
        <v>0</v>
      </c>
      <c r="G58" t="s">
        <v>46</v>
      </c>
      <c r="H58" t="s">
        <v>47</v>
      </c>
      <c r="I58" t="s">
        <v>47</v>
      </c>
      <c r="J58">
        <v>3</v>
      </c>
      <c r="K58">
        <v>0</v>
      </c>
      <c r="L58">
        <v>8</v>
      </c>
      <c r="M58" t="s">
        <v>45</v>
      </c>
      <c r="N58" t="s">
        <v>45</v>
      </c>
      <c r="O58">
        <v>2</v>
      </c>
      <c r="P58">
        <v>10</v>
      </c>
    </row>
    <row r="59" spans="1:16" x14ac:dyDescent="0.4">
      <c r="A59" t="s">
        <v>108</v>
      </c>
      <c r="B59">
        <v>16</v>
      </c>
      <c r="C59" t="s">
        <v>56</v>
      </c>
      <c r="D59" t="s">
        <v>44</v>
      </c>
      <c r="E59" t="s">
        <v>45</v>
      </c>
      <c r="F59">
        <v>0</v>
      </c>
      <c r="G59" t="s">
        <v>46</v>
      </c>
      <c r="H59" t="s">
        <v>47</v>
      </c>
      <c r="I59" t="s">
        <v>47</v>
      </c>
      <c r="J59">
        <v>0</v>
      </c>
      <c r="K59">
        <v>0</v>
      </c>
      <c r="L59">
        <v>2</v>
      </c>
      <c r="M59" t="s">
        <v>45</v>
      </c>
      <c r="N59" t="s">
        <v>47</v>
      </c>
      <c r="O59">
        <v>2</v>
      </c>
      <c r="P59">
        <v>13</v>
      </c>
    </row>
    <row r="60" spans="1:16" x14ac:dyDescent="0.4">
      <c r="A60" t="s">
        <v>109</v>
      </c>
      <c r="B60">
        <v>15</v>
      </c>
      <c r="C60" t="s">
        <v>56</v>
      </c>
      <c r="D60" t="s">
        <v>49</v>
      </c>
      <c r="E60" t="s">
        <v>45</v>
      </c>
      <c r="F60">
        <v>1</v>
      </c>
      <c r="G60" t="s">
        <v>46</v>
      </c>
      <c r="H60" t="s">
        <v>45</v>
      </c>
      <c r="I60" t="s">
        <v>45</v>
      </c>
      <c r="J60">
        <v>5.75</v>
      </c>
      <c r="K60">
        <v>0</v>
      </c>
      <c r="L60">
        <v>2</v>
      </c>
      <c r="M60" t="s">
        <v>45</v>
      </c>
      <c r="N60" t="s">
        <v>47</v>
      </c>
      <c r="O60">
        <v>1</v>
      </c>
      <c r="P60">
        <v>10</v>
      </c>
    </row>
    <row r="61" spans="1:16" x14ac:dyDescent="0.4">
      <c r="A61" t="s">
        <v>110</v>
      </c>
      <c r="B61">
        <v>17</v>
      </c>
      <c r="C61" t="s">
        <v>43</v>
      </c>
      <c r="D61" t="s">
        <v>44</v>
      </c>
      <c r="E61" t="s">
        <v>45</v>
      </c>
      <c r="F61">
        <v>2</v>
      </c>
      <c r="G61" t="s">
        <v>46</v>
      </c>
      <c r="H61" t="s">
        <v>45</v>
      </c>
      <c r="I61" t="s">
        <v>45</v>
      </c>
      <c r="J61">
        <v>2.5</v>
      </c>
      <c r="K61">
        <v>0</v>
      </c>
      <c r="L61">
        <v>0</v>
      </c>
      <c r="M61" t="s">
        <v>45</v>
      </c>
      <c r="N61" t="s">
        <v>45</v>
      </c>
      <c r="O61">
        <v>2</v>
      </c>
      <c r="P61">
        <v>13</v>
      </c>
    </row>
    <row r="62" spans="1:16" x14ac:dyDescent="0.4">
      <c r="A62" t="s">
        <v>111</v>
      </c>
      <c r="B62">
        <v>16</v>
      </c>
      <c r="C62" t="s">
        <v>43</v>
      </c>
      <c r="D62" t="s">
        <v>44</v>
      </c>
      <c r="E62" t="s">
        <v>47</v>
      </c>
      <c r="F62">
        <v>0</v>
      </c>
      <c r="G62" t="s">
        <v>46</v>
      </c>
      <c r="H62" t="s">
        <v>45</v>
      </c>
      <c r="I62" t="s">
        <v>47</v>
      </c>
      <c r="J62">
        <v>0.5</v>
      </c>
      <c r="K62">
        <v>0</v>
      </c>
      <c r="L62">
        <v>4</v>
      </c>
      <c r="M62" t="s">
        <v>45</v>
      </c>
      <c r="N62" t="s">
        <v>47</v>
      </c>
      <c r="O62">
        <v>2</v>
      </c>
      <c r="P62">
        <v>11</v>
      </c>
    </row>
    <row r="63" spans="1:16" x14ac:dyDescent="0.4">
      <c r="A63" t="s">
        <v>112</v>
      </c>
      <c r="B63">
        <v>16</v>
      </c>
      <c r="C63" t="s">
        <v>43</v>
      </c>
      <c r="D63" t="s">
        <v>44</v>
      </c>
      <c r="E63" t="s">
        <v>45</v>
      </c>
      <c r="F63">
        <v>0</v>
      </c>
      <c r="G63" t="s">
        <v>46</v>
      </c>
      <c r="H63" t="s">
        <v>45</v>
      </c>
      <c r="I63" t="s">
        <v>47</v>
      </c>
      <c r="J63">
        <v>0.5</v>
      </c>
      <c r="K63">
        <v>0</v>
      </c>
      <c r="L63">
        <v>0</v>
      </c>
      <c r="M63" t="s">
        <v>45</v>
      </c>
      <c r="N63" t="s">
        <v>45</v>
      </c>
      <c r="O63">
        <v>1</v>
      </c>
      <c r="P63">
        <v>11</v>
      </c>
    </row>
    <row r="64" spans="1:16" x14ac:dyDescent="0.4">
      <c r="A64" t="s">
        <v>113</v>
      </c>
      <c r="B64">
        <v>18</v>
      </c>
      <c r="C64" t="s">
        <v>56</v>
      </c>
      <c r="D64" t="s">
        <v>44</v>
      </c>
      <c r="E64" t="s">
        <v>47</v>
      </c>
      <c r="F64">
        <v>0</v>
      </c>
      <c r="G64" t="s">
        <v>46</v>
      </c>
      <c r="H64" t="s">
        <v>45</v>
      </c>
      <c r="I64" t="s">
        <v>47</v>
      </c>
      <c r="J64">
        <v>3.5</v>
      </c>
      <c r="K64">
        <v>0</v>
      </c>
      <c r="L64">
        <v>0</v>
      </c>
      <c r="M64" t="s">
        <v>45</v>
      </c>
      <c r="N64" t="s">
        <v>45</v>
      </c>
      <c r="O64">
        <v>1</v>
      </c>
      <c r="P64">
        <v>12</v>
      </c>
    </row>
    <row r="65" spans="1:16" x14ac:dyDescent="0.4">
      <c r="A65" t="s">
        <v>114</v>
      </c>
      <c r="B65">
        <v>15</v>
      </c>
      <c r="C65" t="s">
        <v>56</v>
      </c>
      <c r="D65" t="s">
        <v>49</v>
      </c>
      <c r="E65" t="s">
        <v>47</v>
      </c>
      <c r="F65">
        <v>0</v>
      </c>
      <c r="G65" t="s">
        <v>50</v>
      </c>
      <c r="H65" t="s">
        <v>47</v>
      </c>
      <c r="I65" t="s">
        <v>47</v>
      </c>
      <c r="J65">
        <v>4.25</v>
      </c>
      <c r="K65">
        <v>0</v>
      </c>
      <c r="L65">
        <v>0</v>
      </c>
      <c r="M65" t="s">
        <v>45</v>
      </c>
      <c r="N65" t="s">
        <v>47</v>
      </c>
      <c r="O65">
        <v>1</v>
      </c>
      <c r="P65">
        <v>10</v>
      </c>
    </row>
    <row r="66" spans="1:16" x14ac:dyDescent="0.4">
      <c r="A66" t="s">
        <v>115</v>
      </c>
      <c r="B66">
        <v>16</v>
      </c>
      <c r="C66" t="s">
        <v>43</v>
      </c>
      <c r="D66" t="s">
        <v>44</v>
      </c>
      <c r="E66" t="s">
        <v>47</v>
      </c>
      <c r="F66">
        <v>0</v>
      </c>
      <c r="G66" t="s">
        <v>46</v>
      </c>
      <c r="H66" t="s">
        <v>45</v>
      </c>
      <c r="I66" t="s">
        <v>47</v>
      </c>
      <c r="J66">
        <v>2.25</v>
      </c>
      <c r="K66">
        <v>0</v>
      </c>
      <c r="L66">
        <v>0</v>
      </c>
      <c r="M66" t="s">
        <v>45</v>
      </c>
      <c r="N66" t="s">
        <v>45</v>
      </c>
      <c r="O66">
        <v>1</v>
      </c>
      <c r="P66">
        <v>16</v>
      </c>
    </row>
    <row r="67" spans="1:16" x14ac:dyDescent="0.4">
      <c r="A67" t="s">
        <v>116</v>
      </c>
      <c r="B67">
        <v>18</v>
      </c>
      <c r="C67" t="s">
        <v>56</v>
      </c>
      <c r="D67" t="s">
        <v>44</v>
      </c>
      <c r="E67" t="s">
        <v>45</v>
      </c>
      <c r="F67">
        <v>0</v>
      </c>
      <c r="G67" t="s">
        <v>50</v>
      </c>
      <c r="H67" t="s">
        <v>47</v>
      </c>
      <c r="I67" t="s">
        <v>47</v>
      </c>
      <c r="J67">
        <v>1</v>
      </c>
      <c r="K67">
        <v>0</v>
      </c>
      <c r="L67">
        <v>0</v>
      </c>
      <c r="M67" t="s">
        <v>45</v>
      </c>
      <c r="N67" t="s">
        <v>45</v>
      </c>
      <c r="O67">
        <v>1</v>
      </c>
      <c r="P67">
        <v>10</v>
      </c>
    </row>
    <row r="68" spans="1:16" x14ac:dyDescent="0.4">
      <c r="A68" t="s">
        <v>117</v>
      </c>
      <c r="B68">
        <v>16</v>
      </c>
      <c r="C68" t="s">
        <v>43</v>
      </c>
      <c r="D68" t="s">
        <v>49</v>
      </c>
      <c r="E68" t="s">
        <v>45</v>
      </c>
      <c r="F68">
        <v>0</v>
      </c>
      <c r="G68" t="s">
        <v>50</v>
      </c>
      <c r="H68" t="s">
        <v>47</v>
      </c>
      <c r="I68" t="s">
        <v>47</v>
      </c>
      <c r="J68">
        <v>1.25</v>
      </c>
      <c r="K68">
        <v>0</v>
      </c>
      <c r="L68">
        <v>2</v>
      </c>
      <c r="M68" t="s">
        <v>45</v>
      </c>
      <c r="N68" t="s">
        <v>47</v>
      </c>
      <c r="O68">
        <v>2</v>
      </c>
      <c r="P68">
        <v>10</v>
      </c>
    </row>
    <row r="69" spans="1:16" x14ac:dyDescent="0.4">
      <c r="A69" t="s">
        <v>118</v>
      </c>
      <c r="B69">
        <v>16</v>
      </c>
      <c r="C69" t="s">
        <v>43</v>
      </c>
      <c r="D69" t="s">
        <v>49</v>
      </c>
      <c r="E69" t="s">
        <v>45</v>
      </c>
      <c r="F69">
        <v>1</v>
      </c>
      <c r="G69" t="s">
        <v>46</v>
      </c>
      <c r="H69" t="s">
        <v>45</v>
      </c>
      <c r="I69" t="s">
        <v>47</v>
      </c>
      <c r="J69">
        <v>1.5</v>
      </c>
      <c r="K69">
        <v>0</v>
      </c>
      <c r="L69">
        <v>8</v>
      </c>
      <c r="M69" t="s">
        <v>45</v>
      </c>
      <c r="N69" t="s">
        <v>45</v>
      </c>
      <c r="O69">
        <v>3</v>
      </c>
      <c r="P69">
        <v>11</v>
      </c>
    </row>
    <row r="70" spans="1:16" x14ac:dyDescent="0.4">
      <c r="A70" t="s">
        <v>119</v>
      </c>
      <c r="B70">
        <v>18</v>
      </c>
      <c r="C70" t="s">
        <v>56</v>
      </c>
      <c r="D70" t="s">
        <v>44</v>
      </c>
      <c r="E70" t="s">
        <v>45</v>
      </c>
      <c r="F70">
        <v>0</v>
      </c>
      <c r="G70" t="s">
        <v>46</v>
      </c>
      <c r="H70" t="s">
        <v>45</v>
      </c>
      <c r="I70" t="s">
        <v>47</v>
      </c>
      <c r="J70">
        <v>11</v>
      </c>
      <c r="K70">
        <v>0</v>
      </c>
      <c r="L70">
        <v>10</v>
      </c>
      <c r="M70" t="s">
        <v>45</v>
      </c>
      <c r="N70" t="s">
        <v>45</v>
      </c>
      <c r="O70">
        <v>2</v>
      </c>
      <c r="P70">
        <v>16</v>
      </c>
    </row>
    <row r="71" spans="1:16" x14ac:dyDescent="0.4">
      <c r="A71" t="s">
        <v>120</v>
      </c>
      <c r="B71">
        <v>17</v>
      </c>
      <c r="C71" t="s">
        <v>43</v>
      </c>
      <c r="D71" t="s">
        <v>44</v>
      </c>
      <c r="E71" t="s">
        <v>45</v>
      </c>
      <c r="F71">
        <v>0</v>
      </c>
      <c r="G71" t="s">
        <v>50</v>
      </c>
      <c r="H71" t="s">
        <v>45</v>
      </c>
      <c r="I71" t="s">
        <v>47</v>
      </c>
      <c r="J71">
        <v>0.25</v>
      </c>
      <c r="K71">
        <v>1</v>
      </c>
      <c r="L71">
        <v>0</v>
      </c>
      <c r="M71" t="s">
        <v>45</v>
      </c>
      <c r="N71" t="s">
        <v>45</v>
      </c>
      <c r="O71">
        <v>2</v>
      </c>
      <c r="P71">
        <v>0</v>
      </c>
    </row>
    <row r="72" spans="1:16" x14ac:dyDescent="0.4">
      <c r="A72" t="s">
        <v>121</v>
      </c>
      <c r="B72">
        <v>18</v>
      </c>
      <c r="C72" t="s">
        <v>43</v>
      </c>
      <c r="D72" t="s">
        <v>44</v>
      </c>
      <c r="E72" t="s">
        <v>45</v>
      </c>
      <c r="F72">
        <v>0</v>
      </c>
      <c r="G72" t="s">
        <v>46</v>
      </c>
      <c r="H72" t="s">
        <v>47</v>
      </c>
      <c r="I72" t="s">
        <v>47</v>
      </c>
      <c r="J72">
        <v>3.25</v>
      </c>
      <c r="K72">
        <v>3</v>
      </c>
      <c r="L72">
        <v>9</v>
      </c>
      <c r="M72" t="s">
        <v>45</v>
      </c>
      <c r="N72" t="s">
        <v>47</v>
      </c>
      <c r="O72">
        <v>5</v>
      </c>
      <c r="P72">
        <v>10</v>
      </c>
    </row>
    <row r="73" spans="1:16" x14ac:dyDescent="0.4">
      <c r="A73" t="s">
        <v>122</v>
      </c>
      <c r="B73">
        <v>17</v>
      </c>
      <c r="C73" t="s">
        <v>56</v>
      </c>
      <c r="D73" t="s">
        <v>44</v>
      </c>
      <c r="E73" t="s">
        <v>45</v>
      </c>
      <c r="F73">
        <v>0</v>
      </c>
      <c r="G73" t="s">
        <v>46</v>
      </c>
      <c r="H73" t="s">
        <v>45</v>
      </c>
      <c r="I73" t="s">
        <v>47</v>
      </c>
      <c r="J73">
        <v>4.25</v>
      </c>
      <c r="K73">
        <v>0</v>
      </c>
      <c r="L73">
        <v>10</v>
      </c>
      <c r="M73" t="s">
        <v>45</v>
      </c>
      <c r="N73" t="s">
        <v>45</v>
      </c>
      <c r="O73">
        <v>2</v>
      </c>
      <c r="P73">
        <v>15</v>
      </c>
    </row>
    <row r="74" spans="1:16" x14ac:dyDescent="0.4">
      <c r="A74" t="s">
        <v>123</v>
      </c>
      <c r="B74">
        <v>15</v>
      </c>
      <c r="C74" t="s">
        <v>43</v>
      </c>
      <c r="D74" t="s">
        <v>44</v>
      </c>
      <c r="E74" t="s">
        <v>45</v>
      </c>
      <c r="F74">
        <v>2</v>
      </c>
      <c r="G74" t="s">
        <v>46</v>
      </c>
      <c r="H74" t="s">
        <v>45</v>
      </c>
      <c r="I74" t="s">
        <v>47</v>
      </c>
      <c r="J74">
        <v>3.25</v>
      </c>
      <c r="K74">
        <v>0</v>
      </c>
      <c r="L74">
        <v>8</v>
      </c>
      <c r="M74" t="s">
        <v>45</v>
      </c>
      <c r="N74" t="s">
        <v>47</v>
      </c>
      <c r="O74">
        <v>1</v>
      </c>
      <c r="P74">
        <v>16</v>
      </c>
    </row>
    <row r="75" spans="1:16" x14ac:dyDescent="0.4">
      <c r="A75" t="s">
        <v>124</v>
      </c>
      <c r="B75">
        <v>15</v>
      </c>
      <c r="C75" t="s">
        <v>56</v>
      </c>
      <c r="D75" t="s">
        <v>44</v>
      </c>
      <c r="E75" t="s">
        <v>45</v>
      </c>
      <c r="F75">
        <v>0</v>
      </c>
      <c r="G75" t="s">
        <v>46</v>
      </c>
      <c r="H75" t="s">
        <v>47</v>
      </c>
      <c r="I75" t="s">
        <v>47</v>
      </c>
      <c r="J75">
        <v>2.25</v>
      </c>
      <c r="K75">
        <v>0</v>
      </c>
      <c r="L75">
        <v>0</v>
      </c>
      <c r="M75" t="s">
        <v>45</v>
      </c>
      <c r="N75" t="s">
        <v>47</v>
      </c>
      <c r="O75">
        <v>1</v>
      </c>
      <c r="P75">
        <v>12</v>
      </c>
    </row>
    <row r="76" spans="1:16" x14ac:dyDescent="0.4">
      <c r="A76" t="s">
        <v>125</v>
      </c>
      <c r="B76">
        <v>15</v>
      </c>
      <c r="C76" t="s">
        <v>56</v>
      </c>
      <c r="D76" t="s">
        <v>44</v>
      </c>
      <c r="E76" t="s">
        <v>47</v>
      </c>
      <c r="F76">
        <v>1</v>
      </c>
      <c r="G76" t="s">
        <v>46</v>
      </c>
      <c r="H76" t="s">
        <v>45</v>
      </c>
      <c r="I76" t="s">
        <v>45</v>
      </c>
      <c r="J76">
        <v>2</v>
      </c>
      <c r="K76">
        <v>0</v>
      </c>
      <c r="L76">
        <v>4</v>
      </c>
      <c r="M76" t="s">
        <v>45</v>
      </c>
      <c r="N76" t="s">
        <v>45</v>
      </c>
      <c r="O76">
        <v>1</v>
      </c>
      <c r="P76">
        <v>11</v>
      </c>
    </row>
    <row r="77" spans="1:16" x14ac:dyDescent="0.4">
      <c r="A77" t="s">
        <v>126</v>
      </c>
      <c r="B77">
        <v>15</v>
      </c>
      <c r="C77" t="s">
        <v>43</v>
      </c>
      <c r="D77" t="s">
        <v>44</v>
      </c>
      <c r="E77" t="s">
        <v>47</v>
      </c>
      <c r="F77">
        <v>0</v>
      </c>
      <c r="G77" t="s">
        <v>50</v>
      </c>
      <c r="H77" t="s">
        <v>45</v>
      </c>
      <c r="I77" t="s">
        <v>47</v>
      </c>
      <c r="J77">
        <v>1.5</v>
      </c>
      <c r="K77">
        <v>0</v>
      </c>
      <c r="L77">
        <v>11</v>
      </c>
      <c r="M77" t="s">
        <v>45</v>
      </c>
      <c r="N77" t="s">
        <v>47</v>
      </c>
      <c r="O77">
        <v>1</v>
      </c>
      <c r="P77">
        <v>12</v>
      </c>
    </row>
    <row r="78" spans="1:16" x14ac:dyDescent="0.4">
      <c r="A78" t="s">
        <v>127</v>
      </c>
      <c r="B78">
        <v>15</v>
      </c>
      <c r="C78" t="s">
        <v>56</v>
      </c>
      <c r="D78" t="s">
        <v>49</v>
      </c>
      <c r="E78" t="s">
        <v>45</v>
      </c>
      <c r="F78">
        <v>1</v>
      </c>
      <c r="G78" t="s">
        <v>46</v>
      </c>
      <c r="H78" t="s">
        <v>45</v>
      </c>
      <c r="I78" t="s">
        <v>45</v>
      </c>
      <c r="J78">
        <v>5.5</v>
      </c>
      <c r="K78">
        <v>0</v>
      </c>
      <c r="L78">
        <v>2</v>
      </c>
      <c r="M78" t="s">
        <v>45</v>
      </c>
      <c r="N78" t="s">
        <v>47</v>
      </c>
      <c r="O78">
        <v>1</v>
      </c>
      <c r="P78">
        <v>12</v>
      </c>
    </row>
    <row r="79" spans="1:16" x14ac:dyDescent="0.4">
      <c r="A79" t="s">
        <v>128</v>
      </c>
      <c r="B79">
        <v>17</v>
      </c>
      <c r="C79" t="s">
        <v>43</v>
      </c>
      <c r="D79" t="s">
        <v>44</v>
      </c>
      <c r="E79" t="s">
        <v>47</v>
      </c>
      <c r="F79">
        <v>2</v>
      </c>
      <c r="G79" t="s">
        <v>46</v>
      </c>
      <c r="H79" t="s">
        <v>47</v>
      </c>
      <c r="I79" t="s">
        <v>47</v>
      </c>
      <c r="J79">
        <v>3.25</v>
      </c>
      <c r="K79">
        <v>0</v>
      </c>
      <c r="L79">
        <v>15</v>
      </c>
      <c r="M79" t="s">
        <v>45</v>
      </c>
      <c r="N79" t="s">
        <v>45</v>
      </c>
      <c r="O79">
        <v>4</v>
      </c>
      <c r="P79">
        <v>12</v>
      </c>
    </row>
    <row r="80" spans="1:16" x14ac:dyDescent="0.4">
      <c r="A80" t="s">
        <v>129</v>
      </c>
      <c r="B80">
        <v>16</v>
      </c>
      <c r="C80" t="s">
        <v>56</v>
      </c>
      <c r="D80" t="s">
        <v>44</v>
      </c>
      <c r="E80" t="s">
        <v>47</v>
      </c>
      <c r="F80">
        <v>0</v>
      </c>
      <c r="G80" t="s">
        <v>46</v>
      </c>
      <c r="H80" t="s">
        <v>45</v>
      </c>
      <c r="I80" t="s">
        <v>47</v>
      </c>
      <c r="J80">
        <v>4.75</v>
      </c>
      <c r="K80">
        <v>0</v>
      </c>
      <c r="L80">
        <v>0</v>
      </c>
      <c r="M80" t="s">
        <v>45</v>
      </c>
      <c r="N80" t="s">
        <v>47</v>
      </c>
      <c r="O80">
        <v>1</v>
      </c>
      <c r="P80">
        <v>15</v>
      </c>
    </row>
    <row r="81" spans="1:16" x14ac:dyDescent="0.4">
      <c r="A81" t="s">
        <v>130</v>
      </c>
      <c r="B81">
        <v>17</v>
      </c>
      <c r="C81" t="s">
        <v>43</v>
      </c>
      <c r="D81" t="s">
        <v>49</v>
      </c>
      <c r="E81" t="s">
        <v>47</v>
      </c>
      <c r="F81">
        <v>0</v>
      </c>
      <c r="G81" t="s">
        <v>50</v>
      </c>
      <c r="H81" t="s">
        <v>45</v>
      </c>
      <c r="I81" t="s">
        <v>47</v>
      </c>
      <c r="J81">
        <v>0.5</v>
      </c>
      <c r="K81">
        <v>0</v>
      </c>
      <c r="L81">
        <v>2</v>
      </c>
      <c r="M81" t="s">
        <v>45</v>
      </c>
      <c r="N81" t="s">
        <v>45</v>
      </c>
      <c r="O81">
        <v>3</v>
      </c>
      <c r="P81">
        <v>12</v>
      </c>
    </row>
    <row r="82" spans="1:16" x14ac:dyDescent="0.4">
      <c r="A82" t="s">
        <v>131</v>
      </c>
      <c r="B82">
        <v>16</v>
      </c>
      <c r="C82" t="s">
        <v>56</v>
      </c>
      <c r="D82" t="s">
        <v>49</v>
      </c>
      <c r="E82" t="s">
        <v>45</v>
      </c>
      <c r="F82">
        <v>0</v>
      </c>
      <c r="G82" t="s">
        <v>50</v>
      </c>
      <c r="H82" t="s">
        <v>47</v>
      </c>
      <c r="I82" t="s">
        <v>45</v>
      </c>
      <c r="J82">
        <v>2.75</v>
      </c>
      <c r="K82">
        <v>3</v>
      </c>
      <c r="L82">
        <v>0</v>
      </c>
      <c r="M82" t="s">
        <v>45</v>
      </c>
      <c r="N82" t="s">
        <v>47</v>
      </c>
      <c r="O82">
        <v>1</v>
      </c>
      <c r="P82">
        <v>8</v>
      </c>
    </row>
    <row r="83" spans="1:16" x14ac:dyDescent="0.4">
      <c r="A83" t="s">
        <v>132</v>
      </c>
      <c r="B83">
        <v>18</v>
      </c>
      <c r="C83" t="s">
        <v>56</v>
      </c>
      <c r="D83" t="s">
        <v>44</v>
      </c>
      <c r="E83" t="s">
        <v>45</v>
      </c>
      <c r="F83">
        <v>0</v>
      </c>
      <c r="G83" t="s">
        <v>46</v>
      </c>
      <c r="H83" t="s">
        <v>45</v>
      </c>
      <c r="I83" t="s">
        <v>47</v>
      </c>
      <c r="J83">
        <v>5.75</v>
      </c>
      <c r="K83">
        <v>0</v>
      </c>
      <c r="L83">
        <v>10</v>
      </c>
      <c r="M83" t="s">
        <v>45</v>
      </c>
      <c r="N83" t="s">
        <v>45</v>
      </c>
      <c r="O83">
        <v>4</v>
      </c>
      <c r="P83">
        <v>11</v>
      </c>
    </row>
    <row r="84" spans="1:16" x14ac:dyDescent="0.4">
      <c r="A84" t="s">
        <v>133</v>
      </c>
      <c r="B84">
        <v>16</v>
      </c>
      <c r="C84" t="s">
        <v>43</v>
      </c>
      <c r="D84" t="s">
        <v>49</v>
      </c>
      <c r="E84" t="s">
        <v>45</v>
      </c>
      <c r="F84">
        <v>0</v>
      </c>
      <c r="G84" t="s">
        <v>46</v>
      </c>
      <c r="H84" t="s">
        <v>47</v>
      </c>
      <c r="I84" t="s">
        <v>47</v>
      </c>
      <c r="J84">
        <v>1.25</v>
      </c>
      <c r="K84">
        <v>0</v>
      </c>
      <c r="L84">
        <v>4</v>
      </c>
      <c r="M84" t="s">
        <v>45</v>
      </c>
      <c r="N84" t="s">
        <v>47</v>
      </c>
      <c r="O84">
        <v>1</v>
      </c>
      <c r="P84">
        <v>11</v>
      </c>
    </row>
    <row r="85" spans="1:16" x14ac:dyDescent="0.4">
      <c r="A85" t="s">
        <v>134</v>
      </c>
      <c r="B85">
        <v>17</v>
      </c>
      <c r="C85" t="s">
        <v>43</v>
      </c>
      <c r="D85" t="s">
        <v>44</v>
      </c>
      <c r="E85" t="s">
        <v>47</v>
      </c>
      <c r="F85">
        <v>0</v>
      </c>
      <c r="G85" t="s">
        <v>46</v>
      </c>
      <c r="H85" t="s">
        <v>45</v>
      </c>
      <c r="I85" t="s">
        <v>47</v>
      </c>
      <c r="J85">
        <v>3.75</v>
      </c>
      <c r="K85">
        <v>0</v>
      </c>
      <c r="L85">
        <v>0</v>
      </c>
      <c r="M85" t="s">
        <v>45</v>
      </c>
      <c r="N85" t="s">
        <v>45</v>
      </c>
      <c r="O85">
        <v>5</v>
      </c>
      <c r="P85">
        <v>16</v>
      </c>
    </row>
    <row r="86" spans="1:16" x14ac:dyDescent="0.4">
      <c r="A86" t="s">
        <v>135</v>
      </c>
      <c r="B86">
        <v>16</v>
      </c>
      <c r="C86" t="s">
        <v>56</v>
      </c>
      <c r="D86" t="s">
        <v>44</v>
      </c>
      <c r="E86" t="s">
        <v>45</v>
      </c>
      <c r="F86">
        <v>0</v>
      </c>
      <c r="G86" t="s">
        <v>46</v>
      </c>
      <c r="H86" t="s">
        <v>47</v>
      </c>
      <c r="I86" t="s">
        <v>47</v>
      </c>
      <c r="J86">
        <v>2.5</v>
      </c>
      <c r="K86">
        <v>0</v>
      </c>
      <c r="L86">
        <v>0</v>
      </c>
      <c r="M86" t="s">
        <v>45</v>
      </c>
      <c r="N86" t="s">
        <v>45</v>
      </c>
      <c r="O86">
        <v>1</v>
      </c>
      <c r="P86">
        <v>12</v>
      </c>
    </row>
    <row r="87" spans="1:16" x14ac:dyDescent="0.4">
      <c r="A87" t="s">
        <v>136</v>
      </c>
      <c r="B87">
        <v>17</v>
      </c>
      <c r="C87" t="s">
        <v>56</v>
      </c>
      <c r="D87" t="s">
        <v>49</v>
      </c>
      <c r="E87" t="s">
        <v>45</v>
      </c>
      <c r="F87">
        <v>0</v>
      </c>
      <c r="G87" t="s">
        <v>46</v>
      </c>
      <c r="H87" t="s">
        <v>45</v>
      </c>
      <c r="I87" t="s">
        <v>47</v>
      </c>
      <c r="J87">
        <v>3.5</v>
      </c>
      <c r="K87">
        <v>0</v>
      </c>
      <c r="L87">
        <v>2</v>
      </c>
      <c r="M87" t="s">
        <v>45</v>
      </c>
      <c r="N87" t="s">
        <v>47</v>
      </c>
      <c r="O87">
        <v>1</v>
      </c>
      <c r="P87">
        <v>13</v>
      </c>
    </row>
    <row r="88" spans="1:16" x14ac:dyDescent="0.4">
      <c r="A88" t="s">
        <v>137</v>
      </c>
      <c r="B88">
        <v>16</v>
      </c>
      <c r="C88" t="s">
        <v>43</v>
      </c>
      <c r="D88" t="s">
        <v>44</v>
      </c>
      <c r="E88" t="s">
        <v>45</v>
      </c>
      <c r="F88">
        <v>2</v>
      </c>
      <c r="G88" t="s">
        <v>46</v>
      </c>
      <c r="H88" t="s">
        <v>45</v>
      </c>
      <c r="I88" t="s">
        <v>47</v>
      </c>
      <c r="J88">
        <v>9.75</v>
      </c>
      <c r="K88">
        <v>0</v>
      </c>
      <c r="L88">
        <v>0</v>
      </c>
      <c r="M88" t="s">
        <v>45</v>
      </c>
      <c r="N88" t="s">
        <v>47</v>
      </c>
      <c r="O88">
        <v>2</v>
      </c>
      <c r="P88">
        <v>13</v>
      </c>
    </row>
    <row r="89" spans="1:16" x14ac:dyDescent="0.4">
      <c r="A89" t="s">
        <v>138</v>
      </c>
      <c r="B89">
        <v>19</v>
      </c>
      <c r="C89" t="s">
        <v>43</v>
      </c>
      <c r="D89" t="s">
        <v>44</v>
      </c>
      <c r="E89" t="s">
        <v>45</v>
      </c>
      <c r="F89">
        <v>0</v>
      </c>
      <c r="G89" t="s">
        <v>50</v>
      </c>
      <c r="H89" t="s">
        <v>45</v>
      </c>
      <c r="I89" t="s">
        <v>47</v>
      </c>
      <c r="J89">
        <v>0.25</v>
      </c>
      <c r="K89">
        <v>3</v>
      </c>
      <c r="L89">
        <v>4</v>
      </c>
      <c r="M89" t="s">
        <v>47</v>
      </c>
      <c r="N89" t="s">
        <v>45</v>
      </c>
      <c r="O89">
        <v>2</v>
      </c>
      <c r="P89">
        <v>9</v>
      </c>
    </row>
    <row r="90" spans="1:16" x14ac:dyDescent="0.4">
      <c r="A90" t="s">
        <v>139</v>
      </c>
      <c r="B90">
        <v>18</v>
      </c>
      <c r="C90" t="s">
        <v>56</v>
      </c>
      <c r="D90" t="s">
        <v>44</v>
      </c>
      <c r="E90" t="s">
        <v>45</v>
      </c>
      <c r="F90">
        <v>0</v>
      </c>
      <c r="G90" t="s">
        <v>50</v>
      </c>
      <c r="H90" t="s">
        <v>47</v>
      </c>
      <c r="I90" t="s">
        <v>47</v>
      </c>
      <c r="J90">
        <v>3.75</v>
      </c>
      <c r="K90">
        <v>2</v>
      </c>
      <c r="L90">
        <v>2</v>
      </c>
      <c r="M90" t="s">
        <v>45</v>
      </c>
      <c r="N90" t="s">
        <v>47</v>
      </c>
      <c r="O90">
        <v>1</v>
      </c>
      <c r="P90">
        <v>8</v>
      </c>
    </row>
    <row r="91" spans="1:16" x14ac:dyDescent="0.4">
      <c r="A91" t="s">
        <v>140</v>
      </c>
      <c r="B91">
        <v>17</v>
      </c>
      <c r="C91" t="s">
        <v>43</v>
      </c>
      <c r="D91" t="s">
        <v>49</v>
      </c>
      <c r="E91" t="s">
        <v>45</v>
      </c>
      <c r="F91">
        <v>0</v>
      </c>
      <c r="G91" t="s">
        <v>50</v>
      </c>
      <c r="H91" t="s">
        <v>45</v>
      </c>
      <c r="I91" t="s">
        <v>47</v>
      </c>
      <c r="J91">
        <v>1.5</v>
      </c>
      <c r="K91">
        <v>0</v>
      </c>
      <c r="L91">
        <v>0</v>
      </c>
      <c r="M91" t="s">
        <v>45</v>
      </c>
      <c r="N91" t="s">
        <v>45</v>
      </c>
      <c r="O91">
        <v>2</v>
      </c>
      <c r="P91">
        <v>10</v>
      </c>
    </row>
    <row r="92" spans="1:16" x14ac:dyDescent="0.4">
      <c r="A92" t="s">
        <v>141</v>
      </c>
      <c r="B92">
        <v>15</v>
      </c>
      <c r="C92" t="s">
        <v>43</v>
      </c>
      <c r="D92" t="s">
        <v>44</v>
      </c>
      <c r="E92" t="s">
        <v>45</v>
      </c>
      <c r="F92">
        <v>0</v>
      </c>
      <c r="G92" t="s">
        <v>46</v>
      </c>
      <c r="H92" t="s">
        <v>45</v>
      </c>
      <c r="I92" t="s">
        <v>47</v>
      </c>
      <c r="J92">
        <v>14.25</v>
      </c>
      <c r="K92">
        <v>0</v>
      </c>
      <c r="L92">
        <v>6</v>
      </c>
      <c r="M92" t="s">
        <v>45</v>
      </c>
      <c r="N92" t="s">
        <v>47</v>
      </c>
      <c r="O92">
        <v>1</v>
      </c>
      <c r="P92">
        <v>13</v>
      </c>
    </row>
    <row r="93" spans="1:16" x14ac:dyDescent="0.4">
      <c r="A93" t="s">
        <v>142</v>
      </c>
      <c r="B93">
        <v>18</v>
      </c>
      <c r="C93" t="s">
        <v>43</v>
      </c>
      <c r="D93" t="s">
        <v>44</v>
      </c>
      <c r="E93" t="s">
        <v>47</v>
      </c>
      <c r="F93">
        <v>0</v>
      </c>
      <c r="G93" t="s">
        <v>46</v>
      </c>
      <c r="H93" t="s">
        <v>47</v>
      </c>
      <c r="I93" t="s">
        <v>47</v>
      </c>
      <c r="J93">
        <v>2.25</v>
      </c>
      <c r="K93">
        <v>0</v>
      </c>
      <c r="L93">
        <v>10</v>
      </c>
      <c r="M93" t="s">
        <v>45</v>
      </c>
      <c r="N93" t="s">
        <v>47</v>
      </c>
      <c r="O93">
        <v>3</v>
      </c>
      <c r="P93">
        <v>10</v>
      </c>
    </row>
    <row r="94" spans="1:16" x14ac:dyDescent="0.4">
      <c r="A94" t="s">
        <v>143</v>
      </c>
      <c r="B94">
        <v>16</v>
      </c>
      <c r="C94" t="s">
        <v>43</v>
      </c>
      <c r="D94" t="s">
        <v>44</v>
      </c>
      <c r="E94" t="s">
        <v>47</v>
      </c>
      <c r="F94">
        <v>0</v>
      </c>
      <c r="G94" t="s">
        <v>46</v>
      </c>
      <c r="H94" t="s">
        <v>47</v>
      </c>
      <c r="I94" t="s">
        <v>47</v>
      </c>
      <c r="J94">
        <v>3.75</v>
      </c>
      <c r="K94">
        <v>0</v>
      </c>
      <c r="L94">
        <v>0</v>
      </c>
      <c r="M94" t="s">
        <v>45</v>
      </c>
      <c r="N94" t="s">
        <v>47</v>
      </c>
      <c r="O94">
        <v>1</v>
      </c>
      <c r="P94">
        <v>13</v>
      </c>
    </row>
    <row r="95" spans="1:16" x14ac:dyDescent="0.4">
      <c r="A95" t="s">
        <v>144</v>
      </c>
      <c r="B95">
        <v>17</v>
      </c>
      <c r="C95" t="s">
        <v>56</v>
      </c>
      <c r="D95" t="s">
        <v>49</v>
      </c>
      <c r="E95" t="s">
        <v>45</v>
      </c>
      <c r="F95">
        <v>0</v>
      </c>
      <c r="G95" t="s">
        <v>46</v>
      </c>
      <c r="H95" t="s">
        <v>47</v>
      </c>
      <c r="I95" t="s">
        <v>47</v>
      </c>
      <c r="J95">
        <v>4.25</v>
      </c>
      <c r="K95">
        <v>0</v>
      </c>
      <c r="L95">
        <v>0</v>
      </c>
      <c r="M95" t="s">
        <v>45</v>
      </c>
      <c r="N95" t="s">
        <v>47</v>
      </c>
      <c r="O95">
        <v>2</v>
      </c>
      <c r="P95">
        <v>16</v>
      </c>
    </row>
    <row r="96" spans="1:16" x14ac:dyDescent="0.4">
      <c r="A96" t="s">
        <v>145</v>
      </c>
      <c r="B96">
        <v>16</v>
      </c>
      <c r="C96" t="s">
        <v>56</v>
      </c>
      <c r="D96" t="s">
        <v>44</v>
      </c>
      <c r="E96" t="s">
        <v>47</v>
      </c>
      <c r="F96">
        <v>0</v>
      </c>
      <c r="G96" t="s">
        <v>46</v>
      </c>
      <c r="H96" t="s">
        <v>47</v>
      </c>
      <c r="I96" t="s">
        <v>47</v>
      </c>
      <c r="J96">
        <v>4</v>
      </c>
      <c r="K96">
        <v>0</v>
      </c>
      <c r="L96">
        <v>6</v>
      </c>
      <c r="M96" t="s">
        <v>45</v>
      </c>
      <c r="N96" t="s">
        <v>47</v>
      </c>
      <c r="O96">
        <v>2</v>
      </c>
      <c r="P96">
        <v>13</v>
      </c>
    </row>
    <row r="97" spans="1:16" x14ac:dyDescent="0.4">
      <c r="A97" t="s">
        <v>146</v>
      </c>
      <c r="B97">
        <v>17</v>
      </c>
      <c r="C97" t="s">
        <v>56</v>
      </c>
      <c r="D97" t="s">
        <v>44</v>
      </c>
      <c r="E97" t="s">
        <v>45</v>
      </c>
      <c r="F97">
        <v>0</v>
      </c>
      <c r="G97" t="s">
        <v>46</v>
      </c>
      <c r="H97" t="s">
        <v>47</v>
      </c>
      <c r="I97" t="s">
        <v>47</v>
      </c>
      <c r="J97">
        <v>7.5</v>
      </c>
      <c r="K97">
        <v>0</v>
      </c>
      <c r="L97">
        <v>0</v>
      </c>
      <c r="M97" t="s">
        <v>45</v>
      </c>
      <c r="N97" t="s">
        <v>47</v>
      </c>
      <c r="O97">
        <v>2</v>
      </c>
      <c r="P97">
        <v>17</v>
      </c>
    </row>
    <row r="98" spans="1:16" x14ac:dyDescent="0.4">
      <c r="A98" t="s">
        <v>147</v>
      </c>
      <c r="B98">
        <v>17</v>
      </c>
      <c r="C98" t="s">
        <v>56</v>
      </c>
      <c r="D98" t="s">
        <v>44</v>
      </c>
      <c r="E98" t="s">
        <v>47</v>
      </c>
      <c r="F98">
        <v>0</v>
      </c>
      <c r="G98" t="s">
        <v>50</v>
      </c>
      <c r="H98" t="s">
        <v>47</v>
      </c>
      <c r="I98" t="s">
        <v>47</v>
      </c>
      <c r="J98">
        <v>0.75</v>
      </c>
      <c r="K98">
        <v>0</v>
      </c>
      <c r="L98">
        <v>0</v>
      </c>
      <c r="M98" t="s">
        <v>45</v>
      </c>
      <c r="N98" t="s">
        <v>47</v>
      </c>
      <c r="O98">
        <v>1</v>
      </c>
      <c r="P98">
        <v>10</v>
      </c>
    </row>
    <row r="99" spans="1:16" x14ac:dyDescent="0.4">
      <c r="A99" t="s">
        <v>148</v>
      </c>
      <c r="B99">
        <v>18</v>
      </c>
      <c r="C99" t="s">
        <v>56</v>
      </c>
      <c r="D99" t="s">
        <v>44</v>
      </c>
      <c r="E99" t="s">
        <v>47</v>
      </c>
      <c r="F99">
        <v>0</v>
      </c>
      <c r="G99" t="s">
        <v>50</v>
      </c>
      <c r="H99" t="s">
        <v>47</v>
      </c>
      <c r="I99" t="s">
        <v>47</v>
      </c>
      <c r="J99">
        <v>9</v>
      </c>
      <c r="K99">
        <v>0</v>
      </c>
      <c r="L99">
        <v>0</v>
      </c>
      <c r="M99" t="s">
        <v>45</v>
      </c>
      <c r="N99" t="s">
        <v>45</v>
      </c>
      <c r="O99">
        <v>2</v>
      </c>
      <c r="P99">
        <v>13</v>
      </c>
    </row>
    <row r="100" spans="1:16" x14ac:dyDescent="0.4">
      <c r="A100" t="s">
        <v>149</v>
      </c>
      <c r="B100">
        <v>18</v>
      </c>
      <c r="C100" t="s">
        <v>43</v>
      </c>
      <c r="D100" t="s">
        <v>49</v>
      </c>
      <c r="E100" t="s">
        <v>45</v>
      </c>
      <c r="F100">
        <v>0</v>
      </c>
      <c r="G100" t="s">
        <v>50</v>
      </c>
      <c r="H100" t="s">
        <v>45</v>
      </c>
      <c r="I100" t="s">
        <v>47</v>
      </c>
      <c r="J100">
        <v>0.25</v>
      </c>
      <c r="K100">
        <v>1</v>
      </c>
      <c r="L100">
        <v>0</v>
      </c>
      <c r="M100" t="s">
        <v>47</v>
      </c>
      <c r="N100" t="s">
        <v>47</v>
      </c>
      <c r="O100">
        <v>3</v>
      </c>
      <c r="P100">
        <v>10</v>
      </c>
    </row>
    <row r="101" spans="1:16" x14ac:dyDescent="0.4">
      <c r="A101" t="s">
        <v>150</v>
      </c>
      <c r="B101">
        <v>18</v>
      </c>
      <c r="C101" t="s">
        <v>56</v>
      </c>
      <c r="D101" t="s">
        <v>49</v>
      </c>
      <c r="E101" t="s">
        <v>45</v>
      </c>
      <c r="F101">
        <v>0</v>
      </c>
      <c r="G101" t="s">
        <v>46</v>
      </c>
      <c r="H101" t="s">
        <v>47</v>
      </c>
      <c r="I101" t="s">
        <v>47</v>
      </c>
      <c r="J101">
        <v>2.25</v>
      </c>
      <c r="K101">
        <v>0</v>
      </c>
      <c r="L101">
        <v>12</v>
      </c>
      <c r="M101" t="s">
        <v>47</v>
      </c>
      <c r="N101" t="s">
        <v>45</v>
      </c>
      <c r="O101">
        <v>1</v>
      </c>
      <c r="P101">
        <v>10</v>
      </c>
    </row>
    <row r="102" spans="1:16" x14ac:dyDescent="0.4">
      <c r="A102" t="s">
        <v>151</v>
      </c>
      <c r="B102">
        <v>17</v>
      </c>
      <c r="C102" t="s">
        <v>56</v>
      </c>
      <c r="D102" t="s">
        <v>44</v>
      </c>
      <c r="E102" t="s">
        <v>45</v>
      </c>
      <c r="F102">
        <v>0</v>
      </c>
      <c r="G102" t="s">
        <v>46</v>
      </c>
      <c r="H102" t="s">
        <v>45</v>
      </c>
      <c r="I102" t="s">
        <v>47</v>
      </c>
      <c r="J102">
        <v>3</v>
      </c>
      <c r="K102">
        <v>0</v>
      </c>
      <c r="L102">
        <v>2</v>
      </c>
      <c r="M102" t="s">
        <v>45</v>
      </c>
      <c r="N102" t="s">
        <v>47</v>
      </c>
      <c r="O102">
        <v>2</v>
      </c>
      <c r="P102">
        <v>17</v>
      </c>
    </row>
    <row r="103" spans="1:16" x14ac:dyDescent="0.4">
      <c r="A103" t="s">
        <v>152</v>
      </c>
      <c r="B103">
        <v>18</v>
      </c>
      <c r="C103" t="s">
        <v>43</v>
      </c>
      <c r="D103" t="s">
        <v>49</v>
      </c>
      <c r="E103" t="s">
        <v>45</v>
      </c>
      <c r="F103">
        <v>1</v>
      </c>
      <c r="G103" t="s">
        <v>46</v>
      </c>
      <c r="H103" t="s">
        <v>47</v>
      </c>
      <c r="I103" t="s">
        <v>47</v>
      </c>
      <c r="J103">
        <v>6.25</v>
      </c>
      <c r="K103">
        <v>0</v>
      </c>
      <c r="L103">
        <v>4</v>
      </c>
      <c r="M103" t="s">
        <v>45</v>
      </c>
      <c r="N103" t="s">
        <v>45</v>
      </c>
      <c r="O103">
        <v>1</v>
      </c>
      <c r="P103">
        <v>17</v>
      </c>
    </row>
    <row r="104" spans="1:16" x14ac:dyDescent="0.4">
      <c r="A104" t="s">
        <v>153</v>
      </c>
      <c r="B104">
        <v>15</v>
      </c>
      <c r="C104" t="s">
        <v>56</v>
      </c>
      <c r="D104" t="s">
        <v>49</v>
      </c>
      <c r="E104" t="s">
        <v>45</v>
      </c>
      <c r="F104">
        <v>0</v>
      </c>
      <c r="G104" t="s">
        <v>46</v>
      </c>
      <c r="H104" t="s">
        <v>45</v>
      </c>
      <c r="I104" t="s">
        <v>45</v>
      </c>
      <c r="J104">
        <v>0</v>
      </c>
      <c r="K104">
        <v>0</v>
      </c>
      <c r="L104">
        <v>8</v>
      </c>
      <c r="M104" t="s">
        <v>45</v>
      </c>
      <c r="N104" t="s">
        <v>47</v>
      </c>
      <c r="O104">
        <v>1</v>
      </c>
      <c r="P104">
        <v>12</v>
      </c>
    </row>
    <row r="105" spans="1:16" x14ac:dyDescent="0.4">
      <c r="A105" t="s">
        <v>154</v>
      </c>
      <c r="B105">
        <v>17</v>
      </c>
      <c r="C105" t="s">
        <v>56</v>
      </c>
      <c r="D105" t="s">
        <v>44</v>
      </c>
      <c r="E105" t="s">
        <v>47</v>
      </c>
      <c r="F105">
        <v>0</v>
      </c>
      <c r="G105" t="s">
        <v>46</v>
      </c>
      <c r="H105" t="s">
        <v>47</v>
      </c>
      <c r="I105" t="s">
        <v>47</v>
      </c>
      <c r="J105">
        <v>1.25</v>
      </c>
      <c r="K105">
        <v>0</v>
      </c>
      <c r="L105">
        <v>2</v>
      </c>
      <c r="M105" t="s">
        <v>45</v>
      </c>
      <c r="N105" t="s">
        <v>45</v>
      </c>
      <c r="O105">
        <v>2</v>
      </c>
      <c r="P105">
        <v>12</v>
      </c>
    </row>
    <row r="106" spans="1:16" x14ac:dyDescent="0.4">
      <c r="A106" t="s">
        <v>155</v>
      </c>
      <c r="B106">
        <v>18</v>
      </c>
      <c r="C106" t="s">
        <v>56</v>
      </c>
      <c r="D106" t="s">
        <v>44</v>
      </c>
      <c r="E106" t="s">
        <v>47</v>
      </c>
      <c r="F106">
        <v>1</v>
      </c>
      <c r="G106" t="s">
        <v>46</v>
      </c>
      <c r="H106" t="s">
        <v>47</v>
      </c>
      <c r="I106" t="s">
        <v>47</v>
      </c>
      <c r="J106">
        <v>1</v>
      </c>
      <c r="K106">
        <v>0</v>
      </c>
      <c r="L106">
        <v>8</v>
      </c>
      <c r="M106" t="s">
        <v>45</v>
      </c>
      <c r="N106" t="s">
        <v>47</v>
      </c>
      <c r="O106">
        <v>2</v>
      </c>
      <c r="P106">
        <v>15</v>
      </c>
    </row>
    <row r="107" spans="1:16" x14ac:dyDescent="0.4">
      <c r="A107" t="s">
        <v>156</v>
      </c>
      <c r="B107">
        <v>16</v>
      </c>
      <c r="C107" t="s">
        <v>56</v>
      </c>
      <c r="D107" t="s">
        <v>44</v>
      </c>
      <c r="E107" t="s">
        <v>47</v>
      </c>
      <c r="F107">
        <v>0</v>
      </c>
      <c r="G107" t="s">
        <v>46</v>
      </c>
      <c r="H107" t="s">
        <v>47</v>
      </c>
      <c r="I107" t="s">
        <v>47</v>
      </c>
      <c r="J107">
        <v>0.5</v>
      </c>
      <c r="K107">
        <v>0</v>
      </c>
      <c r="L107">
        <v>4</v>
      </c>
      <c r="M107" t="s">
        <v>45</v>
      </c>
      <c r="N107" t="s">
        <v>47</v>
      </c>
      <c r="O107">
        <v>3</v>
      </c>
      <c r="P107">
        <v>11</v>
      </c>
    </row>
    <row r="108" spans="1:16" x14ac:dyDescent="0.4">
      <c r="A108" t="s">
        <v>157</v>
      </c>
      <c r="B108">
        <v>15</v>
      </c>
      <c r="C108" t="s">
        <v>43</v>
      </c>
      <c r="D108" t="s">
        <v>44</v>
      </c>
      <c r="E108" t="s">
        <v>45</v>
      </c>
      <c r="F108">
        <v>0</v>
      </c>
      <c r="G108" t="s">
        <v>46</v>
      </c>
      <c r="H108" t="s">
        <v>45</v>
      </c>
      <c r="I108" t="s">
        <v>45</v>
      </c>
      <c r="J108">
        <v>0.5</v>
      </c>
      <c r="K108">
        <v>0</v>
      </c>
      <c r="L108">
        <v>0</v>
      </c>
      <c r="M108" t="s">
        <v>45</v>
      </c>
      <c r="N108" t="s">
        <v>45</v>
      </c>
      <c r="O108">
        <v>2</v>
      </c>
      <c r="P108">
        <v>12</v>
      </c>
    </row>
    <row r="109" spans="1:16" x14ac:dyDescent="0.4">
      <c r="A109" t="s">
        <v>158</v>
      </c>
      <c r="B109">
        <v>15</v>
      </c>
      <c r="C109" t="s">
        <v>56</v>
      </c>
      <c r="D109" t="s">
        <v>44</v>
      </c>
      <c r="E109" t="s">
        <v>45</v>
      </c>
      <c r="F109">
        <v>1</v>
      </c>
      <c r="G109" t="s">
        <v>46</v>
      </c>
      <c r="H109" t="s">
        <v>45</v>
      </c>
      <c r="I109" t="s">
        <v>47</v>
      </c>
      <c r="J109">
        <v>8.75</v>
      </c>
      <c r="K109">
        <v>0</v>
      </c>
      <c r="L109">
        <v>0</v>
      </c>
      <c r="M109" t="s">
        <v>45</v>
      </c>
      <c r="N109" t="s">
        <v>45</v>
      </c>
      <c r="O109">
        <v>1</v>
      </c>
      <c r="P109">
        <v>14</v>
      </c>
    </row>
    <row r="110" spans="1:16" x14ac:dyDescent="0.4">
      <c r="A110" t="s">
        <v>159</v>
      </c>
      <c r="B110">
        <v>17</v>
      </c>
      <c r="C110" t="s">
        <v>56</v>
      </c>
      <c r="D110" t="s">
        <v>49</v>
      </c>
      <c r="E110" t="s">
        <v>45</v>
      </c>
      <c r="F110">
        <v>0</v>
      </c>
      <c r="G110" t="s">
        <v>50</v>
      </c>
      <c r="H110" t="s">
        <v>47</v>
      </c>
      <c r="I110" t="s">
        <v>47</v>
      </c>
      <c r="J110">
        <v>1</v>
      </c>
      <c r="K110">
        <v>1</v>
      </c>
      <c r="L110">
        <v>0</v>
      </c>
      <c r="M110" t="s">
        <v>45</v>
      </c>
      <c r="N110" t="s">
        <v>45</v>
      </c>
      <c r="O110">
        <v>1</v>
      </c>
      <c r="P110">
        <v>9</v>
      </c>
    </row>
    <row r="111" spans="1:16" x14ac:dyDescent="0.4">
      <c r="A111" t="s">
        <v>160</v>
      </c>
      <c r="B111">
        <v>16</v>
      </c>
      <c r="C111" t="s">
        <v>43</v>
      </c>
      <c r="D111" t="s">
        <v>44</v>
      </c>
      <c r="E111" t="s">
        <v>45</v>
      </c>
      <c r="F111">
        <v>0</v>
      </c>
      <c r="G111" t="s">
        <v>46</v>
      </c>
      <c r="H111" t="s">
        <v>47</v>
      </c>
      <c r="I111" t="s">
        <v>47</v>
      </c>
      <c r="J111">
        <v>0.75</v>
      </c>
      <c r="K111">
        <v>0</v>
      </c>
      <c r="L111">
        <v>0</v>
      </c>
      <c r="M111" t="s">
        <v>45</v>
      </c>
      <c r="N111" t="s">
        <v>47</v>
      </c>
      <c r="O111">
        <v>1</v>
      </c>
      <c r="P111">
        <v>12</v>
      </c>
    </row>
    <row r="112" spans="1:16" x14ac:dyDescent="0.4">
      <c r="A112" t="s">
        <v>161</v>
      </c>
      <c r="B112">
        <v>15</v>
      </c>
      <c r="C112" t="s">
        <v>43</v>
      </c>
      <c r="D112" t="s">
        <v>44</v>
      </c>
      <c r="E112" t="s">
        <v>47</v>
      </c>
      <c r="F112">
        <v>0</v>
      </c>
      <c r="G112" t="s">
        <v>46</v>
      </c>
      <c r="H112" t="s">
        <v>45</v>
      </c>
      <c r="I112" t="s">
        <v>47</v>
      </c>
      <c r="J112">
        <v>4</v>
      </c>
      <c r="K112">
        <v>0</v>
      </c>
      <c r="L112">
        <v>0</v>
      </c>
      <c r="M112" t="s">
        <v>45</v>
      </c>
      <c r="N112" t="s">
        <v>47</v>
      </c>
      <c r="O112">
        <v>1</v>
      </c>
      <c r="P112">
        <v>12</v>
      </c>
    </row>
    <row r="113" spans="1:16" x14ac:dyDescent="0.4">
      <c r="A113" t="s">
        <v>162</v>
      </c>
      <c r="B113">
        <v>18</v>
      </c>
      <c r="C113" t="s">
        <v>56</v>
      </c>
      <c r="D113" t="s">
        <v>44</v>
      </c>
      <c r="E113" t="s">
        <v>45</v>
      </c>
      <c r="F113">
        <v>1</v>
      </c>
      <c r="G113" t="s">
        <v>46</v>
      </c>
      <c r="H113" t="s">
        <v>47</v>
      </c>
      <c r="I113" t="s">
        <v>47</v>
      </c>
      <c r="J113">
        <v>10</v>
      </c>
      <c r="K113">
        <v>0</v>
      </c>
      <c r="L113">
        <v>0</v>
      </c>
      <c r="M113" t="s">
        <v>45</v>
      </c>
      <c r="N113" t="s">
        <v>47</v>
      </c>
      <c r="O113">
        <v>1</v>
      </c>
      <c r="P113">
        <v>17</v>
      </c>
    </row>
    <row r="114" spans="1:16" x14ac:dyDescent="0.4">
      <c r="A114" t="s">
        <v>163</v>
      </c>
      <c r="B114">
        <v>17</v>
      </c>
      <c r="C114" t="s">
        <v>56</v>
      </c>
      <c r="D114" t="s">
        <v>44</v>
      </c>
      <c r="E114" t="s">
        <v>45</v>
      </c>
      <c r="F114">
        <v>1</v>
      </c>
      <c r="G114" t="s">
        <v>46</v>
      </c>
      <c r="H114" t="s">
        <v>47</v>
      </c>
      <c r="I114" t="s">
        <v>47</v>
      </c>
      <c r="J114">
        <v>6</v>
      </c>
      <c r="K114">
        <v>1</v>
      </c>
      <c r="L114">
        <v>14</v>
      </c>
      <c r="M114" t="s">
        <v>45</v>
      </c>
      <c r="N114" t="s">
        <v>45</v>
      </c>
      <c r="O114">
        <v>3</v>
      </c>
      <c r="P114">
        <v>8</v>
      </c>
    </row>
    <row r="115" spans="1:16" x14ac:dyDescent="0.4">
      <c r="A115" t="s">
        <v>164</v>
      </c>
      <c r="B115">
        <v>19</v>
      </c>
      <c r="C115" t="s">
        <v>56</v>
      </c>
      <c r="D115" t="s">
        <v>44</v>
      </c>
      <c r="E115" t="s">
        <v>45</v>
      </c>
      <c r="F115">
        <v>0</v>
      </c>
      <c r="G115" t="s">
        <v>46</v>
      </c>
      <c r="H115" t="s">
        <v>45</v>
      </c>
      <c r="I115" t="s">
        <v>47</v>
      </c>
      <c r="J115">
        <v>3.25</v>
      </c>
      <c r="K115">
        <v>0</v>
      </c>
      <c r="L115">
        <v>16</v>
      </c>
      <c r="M115" t="s">
        <v>45</v>
      </c>
      <c r="N115" t="s">
        <v>47</v>
      </c>
      <c r="O115">
        <v>3</v>
      </c>
      <c r="P115">
        <v>12</v>
      </c>
    </row>
    <row r="116" spans="1:16" x14ac:dyDescent="0.4">
      <c r="A116" t="s">
        <v>165</v>
      </c>
      <c r="B116">
        <v>16</v>
      </c>
      <c r="C116" t="s">
        <v>43</v>
      </c>
      <c r="D116" t="s">
        <v>49</v>
      </c>
      <c r="E116" t="s">
        <v>45</v>
      </c>
      <c r="F116">
        <v>1</v>
      </c>
      <c r="G116" t="s">
        <v>46</v>
      </c>
      <c r="H116" t="s">
        <v>45</v>
      </c>
      <c r="I116" t="s">
        <v>45</v>
      </c>
      <c r="J116">
        <v>0.25</v>
      </c>
      <c r="K116">
        <v>0</v>
      </c>
      <c r="L116">
        <v>6</v>
      </c>
      <c r="M116" t="s">
        <v>45</v>
      </c>
      <c r="N116" t="s">
        <v>47</v>
      </c>
      <c r="O116">
        <v>1</v>
      </c>
      <c r="P116">
        <v>11</v>
      </c>
    </row>
    <row r="117" spans="1:16" x14ac:dyDescent="0.4">
      <c r="A117" t="s">
        <v>166</v>
      </c>
      <c r="B117">
        <v>16</v>
      </c>
      <c r="C117" t="s">
        <v>43</v>
      </c>
      <c r="D117" t="s">
        <v>44</v>
      </c>
      <c r="E117" t="s">
        <v>45</v>
      </c>
      <c r="F117">
        <v>1</v>
      </c>
      <c r="G117" t="s">
        <v>46</v>
      </c>
      <c r="H117" t="s">
        <v>45</v>
      </c>
      <c r="I117" t="s">
        <v>47</v>
      </c>
      <c r="J117">
        <v>1.75</v>
      </c>
      <c r="K117">
        <v>1</v>
      </c>
      <c r="L117">
        <v>4</v>
      </c>
      <c r="M117" t="s">
        <v>45</v>
      </c>
      <c r="N117" t="s">
        <v>47</v>
      </c>
      <c r="O117">
        <v>3</v>
      </c>
      <c r="P117">
        <v>10</v>
      </c>
    </row>
    <row r="118" spans="1:16" x14ac:dyDescent="0.4">
      <c r="A118" t="s">
        <v>167</v>
      </c>
      <c r="B118">
        <v>17</v>
      </c>
      <c r="C118" t="s">
        <v>56</v>
      </c>
      <c r="D118" t="s">
        <v>44</v>
      </c>
      <c r="E118" t="s">
        <v>45</v>
      </c>
      <c r="F118">
        <v>1</v>
      </c>
      <c r="G118" t="s">
        <v>46</v>
      </c>
      <c r="H118" t="s">
        <v>47</v>
      </c>
      <c r="I118" t="s">
        <v>47</v>
      </c>
      <c r="J118">
        <v>5.5</v>
      </c>
      <c r="K118">
        <v>0</v>
      </c>
      <c r="L118">
        <v>0</v>
      </c>
      <c r="M118" t="s">
        <v>45</v>
      </c>
      <c r="N118" t="s">
        <v>47</v>
      </c>
      <c r="O118">
        <v>1</v>
      </c>
      <c r="P118">
        <v>18</v>
      </c>
    </row>
    <row r="119" spans="1:16" x14ac:dyDescent="0.4">
      <c r="A119" t="s">
        <v>168</v>
      </c>
      <c r="B119">
        <v>17</v>
      </c>
      <c r="C119" t="s">
        <v>43</v>
      </c>
      <c r="D119" t="s">
        <v>44</v>
      </c>
      <c r="E119" t="s">
        <v>45</v>
      </c>
      <c r="F119">
        <v>0</v>
      </c>
      <c r="G119" t="s">
        <v>46</v>
      </c>
      <c r="H119" t="s">
        <v>45</v>
      </c>
      <c r="I119" t="s">
        <v>47</v>
      </c>
      <c r="J119">
        <v>2.75</v>
      </c>
      <c r="K119">
        <v>0</v>
      </c>
      <c r="L119">
        <v>0</v>
      </c>
      <c r="M119" t="s">
        <v>45</v>
      </c>
      <c r="N119" t="s">
        <v>45</v>
      </c>
      <c r="O119">
        <v>3</v>
      </c>
      <c r="P119">
        <v>14</v>
      </c>
    </row>
    <row r="120" spans="1:16" x14ac:dyDescent="0.4">
      <c r="A120" t="s">
        <v>169</v>
      </c>
      <c r="B120">
        <v>16</v>
      </c>
      <c r="C120" t="s">
        <v>56</v>
      </c>
      <c r="D120" t="s">
        <v>44</v>
      </c>
      <c r="E120" t="s">
        <v>45</v>
      </c>
      <c r="F120">
        <v>0</v>
      </c>
      <c r="G120" t="s">
        <v>46</v>
      </c>
      <c r="H120" t="s">
        <v>47</v>
      </c>
      <c r="I120" t="s">
        <v>47</v>
      </c>
      <c r="J120">
        <v>0.75</v>
      </c>
      <c r="K120">
        <v>0</v>
      </c>
      <c r="L120">
        <v>6</v>
      </c>
      <c r="M120" t="s">
        <v>45</v>
      </c>
      <c r="N120" t="s">
        <v>47</v>
      </c>
      <c r="O120">
        <v>2</v>
      </c>
      <c r="P120">
        <v>12</v>
      </c>
    </row>
    <row r="121" spans="1:16" x14ac:dyDescent="0.4">
      <c r="A121" t="s">
        <v>170</v>
      </c>
      <c r="B121">
        <v>15</v>
      </c>
      <c r="C121" t="s">
        <v>56</v>
      </c>
      <c r="D121" t="s">
        <v>44</v>
      </c>
      <c r="E121" t="s">
        <v>45</v>
      </c>
      <c r="F121">
        <v>0</v>
      </c>
      <c r="G121" t="s">
        <v>46</v>
      </c>
      <c r="H121" t="s">
        <v>47</v>
      </c>
      <c r="I121" t="s">
        <v>47</v>
      </c>
      <c r="J121">
        <v>3.5</v>
      </c>
      <c r="K121">
        <v>1</v>
      </c>
      <c r="L121">
        <v>2</v>
      </c>
      <c r="M121" t="s">
        <v>45</v>
      </c>
      <c r="N121" t="s">
        <v>47</v>
      </c>
      <c r="O121">
        <v>1</v>
      </c>
      <c r="P121">
        <v>11</v>
      </c>
    </row>
    <row r="122" spans="1:16" x14ac:dyDescent="0.4">
      <c r="A122" t="s">
        <v>171</v>
      </c>
      <c r="B122">
        <v>16</v>
      </c>
      <c r="C122" t="s">
        <v>56</v>
      </c>
      <c r="D122" t="s">
        <v>49</v>
      </c>
      <c r="E122" t="s">
        <v>45</v>
      </c>
      <c r="F122">
        <v>2</v>
      </c>
      <c r="G122" t="s">
        <v>50</v>
      </c>
      <c r="H122" t="s">
        <v>45</v>
      </c>
      <c r="I122" t="s">
        <v>47</v>
      </c>
      <c r="J122">
        <v>7.5</v>
      </c>
      <c r="K122">
        <v>0</v>
      </c>
      <c r="L122">
        <v>6</v>
      </c>
      <c r="M122" t="s">
        <v>45</v>
      </c>
      <c r="N122" t="s">
        <v>45</v>
      </c>
      <c r="O122">
        <v>1</v>
      </c>
      <c r="P122">
        <v>17</v>
      </c>
    </row>
    <row r="123" spans="1:16" x14ac:dyDescent="0.4">
      <c r="A123" t="s">
        <v>172</v>
      </c>
      <c r="B123">
        <v>18</v>
      </c>
      <c r="C123" t="s">
        <v>43</v>
      </c>
      <c r="D123" t="s">
        <v>44</v>
      </c>
      <c r="E123" t="s">
        <v>45</v>
      </c>
      <c r="F123">
        <v>0</v>
      </c>
      <c r="G123" t="s">
        <v>46</v>
      </c>
      <c r="H123" t="s">
        <v>47</v>
      </c>
      <c r="I123" t="s">
        <v>47</v>
      </c>
      <c r="J123">
        <v>1.25</v>
      </c>
      <c r="K123">
        <v>0</v>
      </c>
      <c r="L123">
        <v>8</v>
      </c>
      <c r="M123" t="s">
        <v>47</v>
      </c>
      <c r="N123" t="s">
        <v>47</v>
      </c>
      <c r="O123">
        <v>3</v>
      </c>
      <c r="P123">
        <v>7</v>
      </c>
    </row>
    <row r="124" spans="1:16" x14ac:dyDescent="0.4">
      <c r="A124" t="s">
        <v>173</v>
      </c>
      <c r="B124">
        <v>16</v>
      </c>
      <c r="C124" t="s">
        <v>56</v>
      </c>
      <c r="D124" t="s">
        <v>49</v>
      </c>
      <c r="E124" t="s">
        <v>47</v>
      </c>
      <c r="F124">
        <v>0</v>
      </c>
      <c r="G124" t="s">
        <v>50</v>
      </c>
      <c r="H124" t="s">
        <v>45</v>
      </c>
      <c r="I124" t="s">
        <v>47</v>
      </c>
      <c r="J124">
        <v>2.5</v>
      </c>
      <c r="K124">
        <v>0</v>
      </c>
      <c r="L124">
        <v>0</v>
      </c>
      <c r="M124" t="s">
        <v>47</v>
      </c>
      <c r="N124" t="s">
        <v>47</v>
      </c>
      <c r="O124">
        <v>2</v>
      </c>
      <c r="P124">
        <v>9</v>
      </c>
    </row>
    <row r="125" spans="1:16" x14ac:dyDescent="0.4">
      <c r="A125" t="s">
        <v>174</v>
      </c>
      <c r="B125">
        <v>16</v>
      </c>
      <c r="C125" t="s">
        <v>56</v>
      </c>
      <c r="D125" t="s">
        <v>44</v>
      </c>
      <c r="E125" t="s">
        <v>45</v>
      </c>
      <c r="F125">
        <v>0</v>
      </c>
      <c r="G125" t="s">
        <v>46</v>
      </c>
      <c r="H125" t="s">
        <v>45</v>
      </c>
      <c r="I125" t="s">
        <v>45</v>
      </c>
      <c r="J125">
        <v>2</v>
      </c>
      <c r="K125">
        <v>0</v>
      </c>
      <c r="L125">
        <v>2</v>
      </c>
      <c r="M125" t="s">
        <v>45</v>
      </c>
      <c r="N125" t="s">
        <v>47</v>
      </c>
      <c r="O125">
        <v>1</v>
      </c>
      <c r="P125">
        <v>14</v>
      </c>
    </row>
    <row r="126" spans="1:16" x14ac:dyDescent="0.4">
      <c r="A126" t="s">
        <v>175</v>
      </c>
      <c r="B126">
        <v>17</v>
      </c>
      <c r="C126" t="s">
        <v>56</v>
      </c>
      <c r="D126" t="s">
        <v>49</v>
      </c>
      <c r="E126" t="s">
        <v>47</v>
      </c>
      <c r="F126">
        <v>0</v>
      </c>
      <c r="G126" t="s">
        <v>46</v>
      </c>
      <c r="H126" t="s">
        <v>47</v>
      </c>
      <c r="I126" t="s">
        <v>47</v>
      </c>
      <c r="J126">
        <v>13</v>
      </c>
      <c r="K126">
        <v>0</v>
      </c>
      <c r="L126">
        <v>0</v>
      </c>
      <c r="M126" t="s">
        <v>45</v>
      </c>
      <c r="N126" t="s">
        <v>47</v>
      </c>
      <c r="O126">
        <v>1</v>
      </c>
      <c r="P126">
        <v>19</v>
      </c>
    </row>
    <row r="127" spans="1:16" x14ac:dyDescent="0.4">
      <c r="A127" t="s">
        <v>176</v>
      </c>
      <c r="B127">
        <v>18</v>
      </c>
      <c r="C127" t="s">
        <v>43</v>
      </c>
      <c r="D127" t="s">
        <v>49</v>
      </c>
      <c r="E127" t="s">
        <v>47</v>
      </c>
      <c r="F127">
        <v>1</v>
      </c>
      <c r="G127" t="s">
        <v>46</v>
      </c>
      <c r="H127" t="s">
        <v>45</v>
      </c>
      <c r="I127" t="s">
        <v>47</v>
      </c>
      <c r="J127">
        <v>4.75</v>
      </c>
      <c r="K127">
        <v>0</v>
      </c>
      <c r="L127">
        <v>6</v>
      </c>
      <c r="M127" t="s">
        <v>45</v>
      </c>
      <c r="N127" t="s">
        <v>47</v>
      </c>
      <c r="O127">
        <v>3</v>
      </c>
      <c r="P127">
        <v>16</v>
      </c>
    </row>
    <row r="128" spans="1:16" x14ac:dyDescent="0.4">
      <c r="A128" t="s">
        <v>177</v>
      </c>
      <c r="B128">
        <v>19</v>
      </c>
      <c r="C128" t="s">
        <v>43</v>
      </c>
      <c r="D128" t="s">
        <v>49</v>
      </c>
      <c r="E128" t="s">
        <v>45</v>
      </c>
      <c r="F128">
        <v>0</v>
      </c>
      <c r="G128" t="s">
        <v>50</v>
      </c>
      <c r="H128" t="s">
        <v>47</v>
      </c>
      <c r="I128" t="s">
        <v>47</v>
      </c>
      <c r="J128">
        <v>0</v>
      </c>
      <c r="K128">
        <v>1</v>
      </c>
      <c r="L128">
        <v>4</v>
      </c>
      <c r="M128" t="s">
        <v>45</v>
      </c>
      <c r="N128" t="s">
        <v>47</v>
      </c>
      <c r="O128">
        <v>3</v>
      </c>
      <c r="P128">
        <v>10</v>
      </c>
    </row>
    <row r="129" spans="1:16" x14ac:dyDescent="0.4">
      <c r="A129" t="s">
        <v>178</v>
      </c>
      <c r="B129">
        <v>19</v>
      </c>
      <c r="C129" t="s">
        <v>56</v>
      </c>
      <c r="D129" t="s">
        <v>49</v>
      </c>
      <c r="E129" t="s">
        <v>45</v>
      </c>
      <c r="F129">
        <v>0</v>
      </c>
      <c r="G129" t="s">
        <v>50</v>
      </c>
      <c r="H129" t="s">
        <v>47</v>
      </c>
      <c r="I129" t="s">
        <v>47</v>
      </c>
      <c r="J129">
        <v>2.5</v>
      </c>
      <c r="K129">
        <v>1</v>
      </c>
      <c r="L129">
        <v>4</v>
      </c>
      <c r="M129" t="s">
        <v>45</v>
      </c>
      <c r="N129" t="s">
        <v>45</v>
      </c>
      <c r="O129">
        <v>1</v>
      </c>
      <c r="P129">
        <v>9</v>
      </c>
    </row>
    <row r="130" spans="1:16" x14ac:dyDescent="0.4">
      <c r="A130" t="s">
        <v>179</v>
      </c>
      <c r="B130">
        <v>16</v>
      </c>
      <c r="C130" t="s">
        <v>43</v>
      </c>
      <c r="D130" t="s">
        <v>49</v>
      </c>
      <c r="E130" t="s">
        <v>45</v>
      </c>
      <c r="F130">
        <v>0</v>
      </c>
      <c r="G130" t="s">
        <v>50</v>
      </c>
      <c r="H130" t="s">
        <v>45</v>
      </c>
      <c r="I130" t="s">
        <v>47</v>
      </c>
      <c r="J130">
        <v>1.5</v>
      </c>
      <c r="K130">
        <v>0</v>
      </c>
      <c r="L130">
        <v>6</v>
      </c>
      <c r="M130" t="s">
        <v>45</v>
      </c>
      <c r="N130" t="s">
        <v>45</v>
      </c>
      <c r="O130">
        <v>3</v>
      </c>
      <c r="P130">
        <v>8</v>
      </c>
    </row>
    <row r="131" spans="1:16" x14ac:dyDescent="0.4">
      <c r="A131" t="s">
        <v>180</v>
      </c>
      <c r="B131">
        <v>16</v>
      </c>
      <c r="C131" t="s">
        <v>56</v>
      </c>
      <c r="D131" t="s">
        <v>44</v>
      </c>
      <c r="E131" t="s">
        <v>45</v>
      </c>
      <c r="F131">
        <v>2</v>
      </c>
      <c r="G131" t="s">
        <v>46</v>
      </c>
      <c r="H131" t="s">
        <v>45</v>
      </c>
      <c r="I131" t="s">
        <v>47</v>
      </c>
      <c r="J131">
        <v>1</v>
      </c>
      <c r="K131">
        <v>0</v>
      </c>
      <c r="L131">
        <v>4</v>
      </c>
      <c r="M131" t="s">
        <v>45</v>
      </c>
      <c r="N131" t="s">
        <v>47</v>
      </c>
      <c r="O131">
        <v>1</v>
      </c>
      <c r="P131">
        <v>13</v>
      </c>
    </row>
    <row r="132" spans="1:16" x14ac:dyDescent="0.4">
      <c r="A132" t="s">
        <v>181</v>
      </c>
      <c r="B132">
        <v>15</v>
      </c>
      <c r="C132" t="s">
        <v>43</v>
      </c>
      <c r="D132" t="s">
        <v>44</v>
      </c>
      <c r="E132" t="s">
        <v>45</v>
      </c>
      <c r="F132">
        <v>2</v>
      </c>
      <c r="G132" t="s">
        <v>46</v>
      </c>
      <c r="H132" t="s">
        <v>45</v>
      </c>
      <c r="I132" t="s">
        <v>47</v>
      </c>
      <c r="J132">
        <v>11.5</v>
      </c>
      <c r="K132">
        <v>0</v>
      </c>
      <c r="L132">
        <v>0</v>
      </c>
      <c r="M132" t="s">
        <v>45</v>
      </c>
      <c r="N132" t="s">
        <v>45</v>
      </c>
      <c r="O132">
        <v>5</v>
      </c>
      <c r="P132">
        <v>12</v>
      </c>
    </row>
    <row r="133" spans="1:16" x14ac:dyDescent="0.4">
      <c r="A133" t="s">
        <v>182</v>
      </c>
      <c r="B133">
        <v>17</v>
      </c>
      <c r="C133" t="s">
        <v>56</v>
      </c>
      <c r="D133" t="s">
        <v>49</v>
      </c>
      <c r="E133" t="s">
        <v>45</v>
      </c>
      <c r="F133">
        <v>0</v>
      </c>
      <c r="G133" t="s">
        <v>50</v>
      </c>
      <c r="H133" t="s">
        <v>47</v>
      </c>
      <c r="I133" t="s">
        <v>47</v>
      </c>
      <c r="J133">
        <v>4.5</v>
      </c>
      <c r="K133">
        <v>1</v>
      </c>
      <c r="L133">
        <v>0</v>
      </c>
      <c r="M133" t="s">
        <v>45</v>
      </c>
      <c r="N133" t="s">
        <v>45</v>
      </c>
      <c r="O133">
        <v>1</v>
      </c>
      <c r="P133">
        <v>10</v>
      </c>
    </row>
    <row r="134" spans="1:16" x14ac:dyDescent="0.4">
      <c r="A134" t="s">
        <v>183</v>
      </c>
      <c r="B134">
        <v>17</v>
      </c>
      <c r="C134" t="s">
        <v>56</v>
      </c>
      <c r="D134" t="s">
        <v>44</v>
      </c>
      <c r="E134" t="s">
        <v>45</v>
      </c>
      <c r="F134">
        <v>0</v>
      </c>
      <c r="G134" t="s">
        <v>46</v>
      </c>
      <c r="H134" t="s">
        <v>47</v>
      </c>
      <c r="I134" t="s">
        <v>47</v>
      </c>
      <c r="J134">
        <v>2.25</v>
      </c>
      <c r="K134">
        <v>0</v>
      </c>
      <c r="L134">
        <v>0</v>
      </c>
      <c r="M134" t="s">
        <v>45</v>
      </c>
      <c r="N134" t="s">
        <v>47</v>
      </c>
      <c r="O134">
        <v>2</v>
      </c>
      <c r="P134">
        <v>15</v>
      </c>
    </row>
    <row r="135" spans="1:16" x14ac:dyDescent="0.4">
      <c r="A135" t="s">
        <v>184</v>
      </c>
      <c r="B135">
        <v>19</v>
      </c>
      <c r="C135" t="s">
        <v>43</v>
      </c>
      <c r="D135" t="s">
        <v>44</v>
      </c>
      <c r="E135" t="s">
        <v>47</v>
      </c>
      <c r="F135">
        <v>1</v>
      </c>
      <c r="G135" t="s">
        <v>46</v>
      </c>
      <c r="H135" t="s">
        <v>47</v>
      </c>
      <c r="I135" t="s">
        <v>47</v>
      </c>
      <c r="J135">
        <v>4.25</v>
      </c>
      <c r="K135">
        <v>0</v>
      </c>
      <c r="L135">
        <v>4</v>
      </c>
      <c r="M135" t="s">
        <v>45</v>
      </c>
      <c r="N135" t="s">
        <v>47</v>
      </c>
      <c r="O135">
        <v>1</v>
      </c>
      <c r="P135">
        <v>14</v>
      </c>
    </row>
    <row r="136" spans="1:16" x14ac:dyDescent="0.4">
      <c r="A136" t="s">
        <v>185</v>
      </c>
      <c r="B136">
        <v>18</v>
      </c>
      <c r="C136" t="s">
        <v>43</v>
      </c>
      <c r="D136" t="s">
        <v>49</v>
      </c>
      <c r="E136" t="s">
        <v>45</v>
      </c>
      <c r="F136">
        <v>0</v>
      </c>
      <c r="G136" t="s">
        <v>50</v>
      </c>
      <c r="H136" t="s">
        <v>47</v>
      </c>
      <c r="I136" t="s">
        <v>47</v>
      </c>
      <c r="J136">
        <v>3</v>
      </c>
      <c r="K136">
        <v>0</v>
      </c>
      <c r="L136">
        <v>0</v>
      </c>
      <c r="M136" t="s">
        <v>45</v>
      </c>
      <c r="N136" t="s">
        <v>47</v>
      </c>
      <c r="O136">
        <v>3</v>
      </c>
      <c r="P136">
        <v>9</v>
      </c>
    </row>
    <row r="137" spans="1:16" x14ac:dyDescent="0.4">
      <c r="A137" t="s">
        <v>186</v>
      </c>
      <c r="B137">
        <v>17</v>
      </c>
      <c r="C137" t="s">
        <v>43</v>
      </c>
      <c r="D137" t="s">
        <v>49</v>
      </c>
      <c r="E137" t="s">
        <v>47</v>
      </c>
      <c r="F137">
        <v>0</v>
      </c>
      <c r="G137" t="s">
        <v>50</v>
      </c>
      <c r="H137" t="s">
        <v>45</v>
      </c>
      <c r="I137" t="s">
        <v>47</v>
      </c>
      <c r="J137">
        <v>1.75</v>
      </c>
      <c r="K137">
        <v>0</v>
      </c>
      <c r="L137">
        <v>4</v>
      </c>
      <c r="M137" t="s">
        <v>45</v>
      </c>
      <c r="N137" t="s">
        <v>47</v>
      </c>
      <c r="O137">
        <v>5</v>
      </c>
      <c r="P137">
        <v>11</v>
      </c>
    </row>
    <row r="138" spans="1:16" x14ac:dyDescent="0.4">
      <c r="A138" t="s">
        <v>187</v>
      </c>
      <c r="B138">
        <v>17</v>
      </c>
      <c r="C138" t="s">
        <v>56</v>
      </c>
      <c r="D138" t="s">
        <v>44</v>
      </c>
      <c r="E138" t="s">
        <v>45</v>
      </c>
      <c r="F138">
        <v>0</v>
      </c>
      <c r="G138" t="s">
        <v>46</v>
      </c>
      <c r="H138" t="s">
        <v>45</v>
      </c>
      <c r="I138" t="s">
        <v>47</v>
      </c>
      <c r="J138">
        <v>6.75</v>
      </c>
      <c r="K138">
        <v>0</v>
      </c>
      <c r="L138">
        <v>12</v>
      </c>
      <c r="M138" t="s">
        <v>45</v>
      </c>
      <c r="N138" t="s">
        <v>45</v>
      </c>
      <c r="O138">
        <v>1</v>
      </c>
      <c r="P138">
        <v>12</v>
      </c>
    </row>
    <row r="139" spans="1:16" x14ac:dyDescent="0.4">
      <c r="A139" t="s">
        <v>188</v>
      </c>
      <c r="B139">
        <v>18</v>
      </c>
      <c r="C139" t="s">
        <v>56</v>
      </c>
      <c r="D139" t="s">
        <v>44</v>
      </c>
      <c r="E139" t="s">
        <v>47</v>
      </c>
      <c r="F139">
        <v>0</v>
      </c>
      <c r="G139" t="s">
        <v>50</v>
      </c>
      <c r="H139" t="s">
        <v>47</v>
      </c>
      <c r="I139" t="s">
        <v>47</v>
      </c>
      <c r="J139">
        <v>8.5</v>
      </c>
      <c r="K139">
        <v>0</v>
      </c>
      <c r="L139">
        <v>0</v>
      </c>
      <c r="M139" t="s">
        <v>45</v>
      </c>
      <c r="N139" t="s">
        <v>47</v>
      </c>
      <c r="O139">
        <v>1</v>
      </c>
      <c r="P139">
        <v>18</v>
      </c>
    </row>
    <row r="140" spans="1:16" x14ac:dyDescent="0.4">
      <c r="A140" t="s">
        <v>189</v>
      </c>
      <c r="B140">
        <v>16</v>
      </c>
      <c r="C140" t="s">
        <v>43</v>
      </c>
      <c r="D140" t="s">
        <v>44</v>
      </c>
      <c r="E140" t="s">
        <v>45</v>
      </c>
      <c r="F140">
        <v>0</v>
      </c>
      <c r="G140" t="s">
        <v>46</v>
      </c>
      <c r="H140" t="s">
        <v>45</v>
      </c>
      <c r="I140" t="s">
        <v>47</v>
      </c>
      <c r="J140">
        <v>3.5</v>
      </c>
      <c r="K140">
        <v>0</v>
      </c>
      <c r="L140">
        <v>0</v>
      </c>
      <c r="M140" t="s">
        <v>45</v>
      </c>
      <c r="N140" t="s">
        <v>45</v>
      </c>
      <c r="O140">
        <v>1</v>
      </c>
      <c r="P140">
        <v>18</v>
      </c>
    </row>
    <row r="141" spans="1:16" x14ac:dyDescent="0.4">
      <c r="A141" t="s">
        <v>190</v>
      </c>
      <c r="B141">
        <v>16</v>
      </c>
      <c r="C141" t="s">
        <v>43</v>
      </c>
      <c r="D141" t="s">
        <v>44</v>
      </c>
      <c r="E141" t="s">
        <v>45</v>
      </c>
      <c r="F141">
        <v>2</v>
      </c>
      <c r="G141" t="s">
        <v>46</v>
      </c>
      <c r="H141" t="s">
        <v>45</v>
      </c>
      <c r="I141" t="s">
        <v>47</v>
      </c>
      <c r="J141">
        <v>0.75</v>
      </c>
      <c r="K141">
        <v>0</v>
      </c>
      <c r="L141">
        <v>4</v>
      </c>
      <c r="M141" t="s">
        <v>45</v>
      </c>
      <c r="N141" t="s">
        <v>47</v>
      </c>
      <c r="O141">
        <v>1</v>
      </c>
      <c r="P141">
        <v>15</v>
      </c>
    </row>
    <row r="142" spans="1:16" x14ac:dyDescent="0.4">
      <c r="A142" t="s">
        <v>191</v>
      </c>
      <c r="B142">
        <v>17</v>
      </c>
      <c r="C142" t="s">
        <v>56</v>
      </c>
      <c r="D142" t="s">
        <v>49</v>
      </c>
      <c r="E142" t="s">
        <v>45</v>
      </c>
      <c r="F142">
        <v>0</v>
      </c>
      <c r="G142" t="s">
        <v>50</v>
      </c>
      <c r="H142" t="s">
        <v>45</v>
      </c>
      <c r="I142" t="s">
        <v>47</v>
      </c>
      <c r="J142">
        <v>2</v>
      </c>
      <c r="K142">
        <v>0</v>
      </c>
      <c r="L142">
        <v>0</v>
      </c>
      <c r="M142" t="s">
        <v>45</v>
      </c>
      <c r="N142" t="s">
        <v>47</v>
      </c>
      <c r="O142">
        <v>1</v>
      </c>
      <c r="P142">
        <v>17</v>
      </c>
    </row>
    <row r="143" spans="1:16" x14ac:dyDescent="0.4">
      <c r="A143" t="s">
        <v>192</v>
      </c>
      <c r="B143">
        <v>15</v>
      </c>
      <c r="C143" t="s">
        <v>56</v>
      </c>
      <c r="D143" t="s">
        <v>44</v>
      </c>
      <c r="E143" t="s">
        <v>47</v>
      </c>
      <c r="F143">
        <v>1</v>
      </c>
      <c r="G143" t="s">
        <v>46</v>
      </c>
      <c r="H143" t="s">
        <v>45</v>
      </c>
      <c r="I143" t="s">
        <v>45</v>
      </c>
      <c r="J143">
        <v>4</v>
      </c>
      <c r="K143">
        <v>0</v>
      </c>
      <c r="L143">
        <v>0</v>
      </c>
      <c r="M143" t="s">
        <v>45</v>
      </c>
      <c r="N143" t="s">
        <v>45</v>
      </c>
      <c r="O143">
        <v>1</v>
      </c>
      <c r="P143">
        <v>11</v>
      </c>
    </row>
    <row r="144" spans="1:16" x14ac:dyDescent="0.4">
      <c r="A144" t="s">
        <v>193</v>
      </c>
      <c r="B144">
        <v>16</v>
      </c>
      <c r="C144" t="s">
        <v>43</v>
      </c>
      <c r="D144" t="s">
        <v>44</v>
      </c>
      <c r="E144" t="s">
        <v>45</v>
      </c>
      <c r="F144">
        <v>0</v>
      </c>
      <c r="G144" t="s">
        <v>46</v>
      </c>
      <c r="H144" t="s">
        <v>45</v>
      </c>
      <c r="I144" t="s">
        <v>47</v>
      </c>
      <c r="J144">
        <v>1.25</v>
      </c>
      <c r="K144">
        <v>0</v>
      </c>
      <c r="L144">
        <v>0</v>
      </c>
      <c r="M144" t="s">
        <v>45</v>
      </c>
      <c r="N144" t="s">
        <v>47</v>
      </c>
      <c r="O144">
        <v>2</v>
      </c>
      <c r="P144">
        <v>14</v>
      </c>
    </row>
    <row r="145" spans="1:16" x14ac:dyDescent="0.4">
      <c r="A145" t="s">
        <v>194</v>
      </c>
      <c r="B145">
        <v>16</v>
      </c>
      <c r="C145" t="s">
        <v>43</v>
      </c>
      <c r="D145" t="s">
        <v>49</v>
      </c>
      <c r="E145" t="s">
        <v>45</v>
      </c>
      <c r="F145">
        <v>0</v>
      </c>
      <c r="G145" t="s">
        <v>46</v>
      </c>
      <c r="H145" t="s">
        <v>45</v>
      </c>
      <c r="I145" t="s">
        <v>47</v>
      </c>
      <c r="J145">
        <v>1</v>
      </c>
      <c r="K145">
        <v>0</v>
      </c>
      <c r="L145">
        <v>2</v>
      </c>
      <c r="M145" t="s">
        <v>45</v>
      </c>
      <c r="N145" t="s">
        <v>47</v>
      </c>
      <c r="O145">
        <v>2</v>
      </c>
      <c r="P145">
        <v>12</v>
      </c>
    </row>
    <row r="146" spans="1:16" x14ac:dyDescent="0.4">
      <c r="A146" t="s">
        <v>195</v>
      </c>
      <c r="B146">
        <v>18</v>
      </c>
      <c r="C146" t="s">
        <v>56</v>
      </c>
      <c r="D146" t="s">
        <v>44</v>
      </c>
      <c r="E146" t="s">
        <v>47</v>
      </c>
      <c r="F146">
        <v>0</v>
      </c>
      <c r="G146" t="s">
        <v>50</v>
      </c>
      <c r="H146" t="s">
        <v>47</v>
      </c>
      <c r="I146" t="s">
        <v>47</v>
      </c>
      <c r="J146">
        <v>2</v>
      </c>
      <c r="K146">
        <v>0</v>
      </c>
      <c r="L146">
        <v>0</v>
      </c>
      <c r="M146" t="s">
        <v>45</v>
      </c>
      <c r="N146" t="s">
        <v>47</v>
      </c>
      <c r="O146">
        <v>1</v>
      </c>
      <c r="P146">
        <v>14</v>
      </c>
    </row>
    <row r="147" spans="1:16" x14ac:dyDescent="0.4">
      <c r="A147" t="s">
        <v>196</v>
      </c>
      <c r="B147">
        <v>17</v>
      </c>
      <c r="C147" t="s">
        <v>56</v>
      </c>
      <c r="D147" t="s">
        <v>49</v>
      </c>
      <c r="E147" t="s">
        <v>45</v>
      </c>
      <c r="F147">
        <v>0</v>
      </c>
      <c r="G147" t="s">
        <v>50</v>
      </c>
      <c r="H147" t="s">
        <v>45</v>
      </c>
      <c r="I147" t="s">
        <v>47</v>
      </c>
      <c r="J147">
        <v>0</v>
      </c>
      <c r="K147">
        <v>0</v>
      </c>
      <c r="L147">
        <v>4</v>
      </c>
      <c r="M147" t="s">
        <v>45</v>
      </c>
      <c r="N147" t="s">
        <v>47</v>
      </c>
      <c r="O147">
        <v>2</v>
      </c>
      <c r="P147">
        <v>9</v>
      </c>
    </row>
    <row r="148" spans="1:16" x14ac:dyDescent="0.4">
      <c r="A148" t="s">
        <v>197</v>
      </c>
      <c r="B148">
        <v>18</v>
      </c>
      <c r="C148" t="s">
        <v>43</v>
      </c>
      <c r="D148" t="s">
        <v>44</v>
      </c>
      <c r="E148" t="s">
        <v>45</v>
      </c>
      <c r="F148">
        <v>0</v>
      </c>
      <c r="G148" t="s">
        <v>46</v>
      </c>
      <c r="H148" t="s">
        <v>47</v>
      </c>
      <c r="I148" t="s">
        <v>47</v>
      </c>
      <c r="J148">
        <v>0.5</v>
      </c>
      <c r="K148">
        <v>2</v>
      </c>
      <c r="L148">
        <v>4</v>
      </c>
      <c r="M148" t="s">
        <v>47</v>
      </c>
      <c r="N148" t="s">
        <v>47</v>
      </c>
      <c r="O148">
        <v>3</v>
      </c>
      <c r="P148">
        <v>6</v>
      </c>
    </row>
    <row r="149" spans="1:16" x14ac:dyDescent="0.4">
      <c r="A149" t="s">
        <v>198</v>
      </c>
      <c r="B149">
        <v>15</v>
      </c>
      <c r="C149" t="s">
        <v>43</v>
      </c>
      <c r="D149" t="s">
        <v>44</v>
      </c>
      <c r="E149" t="s">
        <v>47</v>
      </c>
      <c r="F149">
        <v>0</v>
      </c>
      <c r="G149" t="s">
        <v>50</v>
      </c>
      <c r="H149" t="s">
        <v>45</v>
      </c>
      <c r="I149" t="s">
        <v>47</v>
      </c>
      <c r="J149">
        <v>4</v>
      </c>
      <c r="K149">
        <v>0</v>
      </c>
      <c r="L149">
        <v>0</v>
      </c>
      <c r="M149" t="s">
        <v>45</v>
      </c>
      <c r="N149" t="s">
        <v>47</v>
      </c>
      <c r="O149">
        <v>1</v>
      </c>
      <c r="P149">
        <v>11</v>
      </c>
    </row>
    <row r="150" spans="1:16" x14ac:dyDescent="0.4">
      <c r="A150" t="s">
        <v>199</v>
      </c>
      <c r="B150">
        <v>19</v>
      </c>
      <c r="C150" t="s">
        <v>56</v>
      </c>
      <c r="D150" t="s">
        <v>44</v>
      </c>
      <c r="E150" t="s">
        <v>45</v>
      </c>
      <c r="F150">
        <v>0</v>
      </c>
      <c r="G150" t="s">
        <v>50</v>
      </c>
      <c r="H150" t="s">
        <v>47</v>
      </c>
      <c r="I150" t="s">
        <v>47</v>
      </c>
      <c r="J150">
        <v>0</v>
      </c>
      <c r="K150">
        <v>1</v>
      </c>
      <c r="L150">
        <v>0</v>
      </c>
      <c r="M150" t="s">
        <v>47</v>
      </c>
      <c r="N150" t="s">
        <v>45</v>
      </c>
      <c r="O150">
        <v>1</v>
      </c>
      <c r="P150">
        <v>10</v>
      </c>
    </row>
    <row r="151" spans="1:16" x14ac:dyDescent="0.4">
      <c r="A151" t="s">
        <v>200</v>
      </c>
      <c r="B151">
        <v>16</v>
      </c>
      <c r="C151" t="s">
        <v>56</v>
      </c>
      <c r="D151" t="s">
        <v>44</v>
      </c>
      <c r="E151" t="s">
        <v>45</v>
      </c>
      <c r="F151">
        <v>2</v>
      </c>
      <c r="G151" t="s">
        <v>50</v>
      </c>
      <c r="H151" t="s">
        <v>47</v>
      </c>
      <c r="I151" t="s">
        <v>47</v>
      </c>
      <c r="J151">
        <v>4</v>
      </c>
      <c r="K151">
        <v>0</v>
      </c>
      <c r="L151">
        <v>4</v>
      </c>
      <c r="M151" t="s">
        <v>45</v>
      </c>
      <c r="N151" t="s">
        <v>45</v>
      </c>
      <c r="O151">
        <v>1</v>
      </c>
      <c r="P151">
        <v>8</v>
      </c>
    </row>
    <row r="152" spans="1:16" x14ac:dyDescent="0.4">
      <c r="A152" t="s">
        <v>201</v>
      </c>
      <c r="B152">
        <v>15</v>
      </c>
      <c r="C152" t="s">
        <v>56</v>
      </c>
      <c r="D152" t="s">
        <v>44</v>
      </c>
      <c r="E152" t="s">
        <v>47</v>
      </c>
      <c r="F152">
        <v>1</v>
      </c>
      <c r="G152" t="s">
        <v>46</v>
      </c>
      <c r="H152" t="s">
        <v>45</v>
      </c>
      <c r="I152" t="s">
        <v>45</v>
      </c>
      <c r="J152">
        <v>4.75</v>
      </c>
      <c r="K152">
        <v>0</v>
      </c>
      <c r="L152">
        <v>0</v>
      </c>
      <c r="M152" t="s">
        <v>45</v>
      </c>
      <c r="N152" t="s">
        <v>45</v>
      </c>
      <c r="O152">
        <v>3</v>
      </c>
      <c r="P152">
        <v>12</v>
      </c>
    </row>
    <row r="153" spans="1:16" x14ac:dyDescent="0.4">
      <c r="A153" t="s">
        <v>202</v>
      </c>
      <c r="B153">
        <v>16</v>
      </c>
      <c r="C153" t="s">
        <v>43</v>
      </c>
      <c r="D153" t="s">
        <v>49</v>
      </c>
      <c r="E153" t="s">
        <v>45</v>
      </c>
      <c r="F153">
        <v>0</v>
      </c>
      <c r="G153" t="s">
        <v>46</v>
      </c>
      <c r="H153" t="s">
        <v>45</v>
      </c>
      <c r="I153" t="s">
        <v>47</v>
      </c>
      <c r="J153">
        <v>1.25</v>
      </c>
      <c r="K153">
        <v>0</v>
      </c>
      <c r="L153">
        <v>0</v>
      </c>
      <c r="M153" t="s">
        <v>45</v>
      </c>
      <c r="N153" t="s">
        <v>47</v>
      </c>
      <c r="O153">
        <v>3</v>
      </c>
      <c r="P153">
        <v>10</v>
      </c>
    </row>
    <row r="154" spans="1:16" x14ac:dyDescent="0.4">
      <c r="A154" t="s">
        <v>203</v>
      </c>
      <c r="B154">
        <v>16</v>
      </c>
      <c r="C154" t="s">
        <v>56</v>
      </c>
      <c r="D154" t="s">
        <v>44</v>
      </c>
      <c r="E154" t="s">
        <v>45</v>
      </c>
      <c r="F154">
        <v>0</v>
      </c>
      <c r="G154" t="s">
        <v>46</v>
      </c>
      <c r="H154" t="s">
        <v>47</v>
      </c>
      <c r="I154" t="s">
        <v>45</v>
      </c>
      <c r="J154">
        <v>2</v>
      </c>
      <c r="K154">
        <v>0</v>
      </c>
      <c r="L154">
        <v>0</v>
      </c>
      <c r="M154" t="s">
        <v>45</v>
      </c>
      <c r="N154" t="s">
        <v>47</v>
      </c>
      <c r="O154">
        <v>1</v>
      </c>
      <c r="P154">
        <v>14</v>
      </c>
    </row>
    <row r="155" spans="1:16" x14ac:dyDescent="0.4">
      <c r="A155" t="s">
        <v>204</v>
      </c>
      <c r="B155">
        <v>15</v>
      </c>
      <c r="C155" t="s">
        <v>56</v>
      </c>
      <c r="D155" t="s">
        <v>44</v>
      </c>
      <c r="E155" t="s">
        <v>47</v>
      </c>
      <c r="F155">
        <v>0</v>
      </c>
      <c r="G155" t="s">
        <v>46</v>
      </c>
      <c r="H155" t="s">
        <v>47</v>
      </c>
      <c r="I155" t="s">
        <v>45</v>
      </c>
      <c r="J155">
        <v>4.75</v>
      </c>
      <c r="K155">
        <v>0</v>
      </c>
      <c r="L155">
        <v>6</v>
      </c>
      <c r="M155" t="s">
        <v>45</v>
      </c>
      <c r="N155" t="s">
        <v>47</v>
      </c>
      <c r="O155">
        <v>2</v>
      </c>
      <c r="P155">
        <v>12</v>
      </c>
    </row>
    <row r="156" spans="1:16" x14ac:dyDescent="0.4">
      <c r="A156" t="s">
        <v>205</v>
      </c>
      <c r="B156">
        <v>16</v>
      </c>
      <c r="C156" t="s">
        <v>43</v>
      </c>
      <c r="D156" t="s">
        <v>44</v>
      </c>
      <c r="E156" t="s">
        <v>47</v>
      </c>
      <c r="F156">
        <v>0</v>
      </c>
      <c r="G156" t="s">
        <v>46</v>
      </c>
      <c r="H156" t="s">
        <v>45</v>
      </c>
      <c r="I156" t="s">
        <v>47</v>
      </c>
      <c r="J156">
        <v>1.25</v>
      </c>
      <c r="K156">
        <v>1</v>
      </c>
      <c r="L156">
        <v>6</v>
      </c>
      <c r="M156" t="s">
        <v>45</v>
      </c>
      <c r="N156" t="s">
        <v>45</v>
      </c>
      <c r="O156">
        <v>4</v>
      </c>
      <c r="P156">
        <v>10</v>
      </c>
    </row>
    <row r="157" spans="1:16" x14ac:dyDescent="0.4">
      <c r="A157" t="s">
        <v>206</v>
      </c>
      <c r="B157">
        <v>17</v>
      </c>
      <c r="C157" t="s">
        <v>43</v>
      </c>
      <c r="D157" t="s">
        <v>49</v>
      </c>
      <c r="E157" t="s">
        <v>45</v>
      </c>
      <c r="F157">
        <v>2</v>
      </c>
      <c r="G157" t="s">
        <v>50</v>
      </c>
      <c r="H157" t="s">
        <v>45</v>
      </c>
      <c r="I157" t="s">
        <v>47</v>
      </c>
      <c r="J157">
        <v>0.25</v>
      </c>
      <c r="K157">
        <v>3</v>
      </c>
      <c r="L157">
        <v>2</v>
      </c>
      <c r="M157" t="s">
        <v>45</v>
      </c>
      <c r="N157" t="s">
        <v>45</v>
      </c>
      <c r="O157">
        <v>2</v>
      </c>
      <c r="P157">
        <v>8</v>
      </c>
    </row>
    <row r="158" spans="1:16" x14ac:dyDescent="0.4">
      <c r="A158" t="s">
        <v>207</v>
      </c>
      <c r="B158">
        <v>17</v>
      </c>
      <c r="C158" t="s">
        <v>56</v>
      </c>
      <c r="D158" t="s">
        <v>44</v>
      </c>
      <c r="E158" t="s">
        <v>45</v>
      </c>
      <c r="F158">
        <v>1</v>
      </c>
      <c r="G158" t="s">
        <v>46</v>
      </c>
      <c r="H158" t="s">
        <v>47</v>
      </c>
      <c r="I158" t="s">
        <v>47</v>
      </c>
      <c r="J158">
        <v>4.5</v>
      </c>
      <c r="K158">
        <v>0</v>
      </c>
      <c r="L158">
        <v>16</v>
      </c>
      <c r="M158" t="s">
        <v>45</v>
      </c>
      <c r="N158" t="s">
        <v>45</v>
      </c>
      <c r="O158">
        <v>3</v>
      </c>
      <c r="P158">
        <v>10</v>
      </c>
    </row>
    <row r="159" spans="1:16" x14ac:dyDescent="0.4">
      <c r="A159" t="s">
        <v>208</v>
      </c>
      <c r="B159">
        <v>19</v>
      </c>
      <c r="C159" t="s">
        <v>56</v>
      </c>
      <c r="D159" t="s">
        <v>49</v>
      </c>
      <c r="E159" t="s">
        <v>45</v>
      </c>
      <c r="F159">
        <v>0</v>
      </c>
      <c r="G159" t="s">
        <v>50</v>
      </c>
      <c r="H159" t="s">
        <v>45</v>
      </c>
      <c r="I159" t="s">
        <v>47</v>
      </c>
      <c r="J159">
        <v>8.5</v>
      </c>
      <c r="K159">
        <v>1</v>
      </c>
      <c r="L159">
        <v>4</v>
      </c>
      <c r="M159" t="s">
        <v>45</v>
      </c>
      <c r="N159" t="s">
        <v>47</v>
      </c>
      <c r="O159">
        <v>1</v>
      </c>
      <c r="P159">
        <v>10</v>
      </c>
    </row>
    <row r="160" spans="1:16" x14ac:dyDescent="0.4">
      <c r="A160" t="s">
        <v>209</v>
      </c>
      <c r="B160">
        <v>18</v>
      </c>
      <c r="C160" t="s">
        <v>56</v>
      </c>
      <c r="D160" t="s">
        <v>44</v>
      </c>
      <c r="E160" t="s">
        <v>47</v>
      </c>
      <c r="F160">
        <v>0</v>
      </c>
      <c r="G160" t="s">
        <v>46</v>
      </c>
      <c r="H160" t="s">
        <v>47</v>
      </c>
      <c r="I160" t="s">
        <v>47</v>
      </c>
      <c r="J160">
        <v>14.75</v>
      </c>
      <c r="K160">
        <v>0</v>
      </c>
      <c r="L160">
        <v>4</v>
      </c>
      <c r="M160" t="s">
        <v>45</v>
      </c>
      <c r="N160" t="s">
        <v>47</v>
      </c>
      <c r="O160">
        <v>1</v>
      </c>
      <c r="P160">
        <v>15</v>
      </c>
    </row>
    <row r="161" spans="1:16" x14ac:dyDescent="0.4">
      <c r="A161" t="s">
        <v>210</v>
      </c>
      <c r="B161">
        <v>17</v>
      </c>
      <c r="C161" t="s">
        <v>43</v>
      </c>
      <c r="D161" t="s">
        <v>49</v>
      </c>
      <c r="E161" t="s">
        <v>45</v>
      </c>
      <c r="F161">
        <v>0</v>
      </c>
      <c r="G161" t="s">
        <v>50</v>
      </c>
      <c r="H161" t="s">
        <v>45</v>
      </c>
      <c r="I161" t="s">
        <v>47</v>
      </c>
      <c r="J161">
        <v>0.75</v>
      </c>
      <c r="K161">
        <v>0</v>
      </c>
      <c r="L161">
        <v>0</v>
      </c>
      <c r="M161" t="s">
        <v>47</v>
      </c>
      <c r="N161" t="s">
        <v>45</v>
      </c>
      <c r="O161">
        <v>4</v>
      </c>
      <c r="P161">
        <v>10</v>
      </c>
    </row>
    <row r="162" spans="1:16" x14ac:dyDescent="0.4">
      <c r="A162" t="s">
        <v>211</v>
      </c>
      <c r="B162">
        <v>16</v>
      </c>
      <c r="C162" t="s">
        <v>43</v>
      </c>
      <c r="D162" t="s">
        <v>44</v>
      </c>
      <c r="E162" t="s">
        <v>45</v>
      </c>
      <c r="F162">
        <v>0</v>
      </c>
      <c r="G162" t="s">
        <v>46</v>
      </c>
      <c r="H162" t="s">
        <v>45</v>
      </c>
      <c r="I162" t="s">
        <v>47</v>
      </c>
      <c r="J162">
        <v>0.5</v>
      </c>
      <c r="K162">
        <v>0</v>
      </c>
      <c r="L162">
        <v>6</v>
      </c>
      <c r="M162" t="s">
        <v>45</v>
      </c>
      <c r="N162" t="s">
        <v>47</v>
      </c>
      <c r="O162">
        <v>1</v>
      </c>
      <c r="P162">
        <v>15</v>
      </c>
    </row>
    <row r="163" spans="1:16" x14ac:dyDescent="0.4">
      <c r="A163" t="s">
        <v>212</v>
      </c>
      <c r="B163">
        <v>16</v>
      </c>
      <c r="C163" t="s">
        <v>56</v>
      </c>
      <c r="D163" t="s">
        <v>44</v>
      </c>
      <c r="E163" t="s">
        <v>47</v>
      </c>
      <c r="F163">
        <v>0</v>
      </c>
      <c r="G163" t="s">
        <v>46</v>
      </c>
      <c r="H163" t="s">
        <v>45</v>
      </c>
      <c r="I163" t="s">
        <v>47</v>
      </c>
      <c r="J163">
        <v>3</v>
      </c>
      <c r="K163">
        <v>0</v>
      </c>
      <c r="L163">
        <v>16</v>
      </c>
      <c r="M163" t="s">
        <v>45</v>
      </c>
      <c r="N163" t="s">
        <v>45</v>
      </c>
      <c r="O163">
        <v>1</v>
      </c>
      <c r="P163">
        <v>10</v>
      </c>
    </row>
    <row r="164" spans="1:16" x14ac:dyDescent="0.4">
      <c r="A164" t="s">
        <v>213</v>
      </c>
      <c r="B164">
        <v>17</v>
      </c>
      <c r="C164" t="s">
        <v>56</v>
      </c>
      <c r="D164" t="s">
        <v>44</v>
      </c>
      <c r="E164" t="s">
        <v>45</v>
      </c>
      <c r="F164">
        <v>0</v>
      </c>
      <c r="G164" t="s">
        <v>50</v>
      </c>
      <c r="H164" t="s">
        <v>47</v>
      </c>
      <c r="I164" t="s">
        <v>47</v>
      </c>
      <c r="J164">
        <v>0.75</v>
      </c>
      <c r="K164">
        <v>0</v>
      </c>
      <c r="L164">
        <v>0</v>
      </c>
      <c r="M164" t="s">
        <v>45</v>
      </c>
      <c r="N164" t="s">
        <v>47</v>
      </c>
      <c r="O164">
        <v>1</v>
      </c>
      <c r="P164">
        <v>13</v>
      </c>
    </row>
    <row r="165" spans="1:16" x14ac:dyDescent="0.4">
      <c r="A165" t="s">
        <v>214</v>
      </c>
      <c r="B165">
        <v>18</v>
      </c>
      <c r="C165" t="s">
        <v>56</v>
      </c>
      <c r="D165" t="s">
        <v>44</v>
      </c>
      <c r="E165" t="s">
        <v>45</v>
      </c>
      <c r="F165">
        <v>0</v>
      </c>
      <c r="G165" t="s">
        <v>46</v>
      </c>
      <c r="H165" t="s">
        <v>45</v>
      </c>
      <c r="I165" t="s">
        <v>47</v>
      </c>
      <c r="J165">
        <v>4.25</v>
      </c>
      <c r="K165">
        <v>0</v>
      </c>
      <c r="L165">
        <v>8</v>
      </c>
      <c r="M165" t="s">
        <v>45</v>
      </c>
      <c r="N165" t="s">
        <v>47</v>
      </c>
      <c r="O165">
        <v>1</v>
      </c>
      <c r="P165">
        <v>12</v>
      </c>
    </row>
    <row r="166" spans="1:16" x14ac:dyDescent="0.4">
      <c r="A166" t="s">
        <v>215</v>
      </c>
      <c r="B166">
        <v>17</v>
      </c>
      <c r="C166" t="s">
        <v>56</v>
      </c>
      <c r="D166" t="s">
        <v>49</v>
      </c>
      <c r="E166" t="s">
        <v>45</v>
      </c>
      <c r="F166">
        <v>1</v>
      </c>
      <c r="G166" t="s">
        <v>46</v>
      </c>
      <c r="H166" t="s">
        <v>45</v>
      </c>
      <c r="I166" t="s">
        <v>47</v>
      </c>
      <c r="J166">
        <v>8.25</v>
      </c>
      <c r="K166">
        <v>0</v>
      </c>
      <c r="L166">
        <v>0</v>
      </c>
      <c r="M166" t="s">
        <v>45</v>
      </c>
      <c r="N166" t="s">
        <v>45</v>
      </c>
      <c r="O166">
        <v>1</v>
      </c>
      <c r="P166">
        <v>12</v>
      </c>
    </row>
    <row r="167" spans="1:16" x14ac:dyDescent="0.4">
      <c r="A167" t="s">
        <v>216</v>
      </c>
      <c r="B167">
        <v>17</v>
      </c>
      <c r="C167" t="s">
        <v>56</v>
      </c>
      <c r="D167" t="s">
        <v>49</v>
      </c>
      <c r="E167" t="s">
        <v>47</v>
      </c>
      <c r="F167">
        <v>1</v>
      </c>
      <c r="G167" t="s">
        <v>46</v>
      </c>
      <c r="H167" t="s">
        <v>47</v>
      </c>
      <c r="I167" t="s">
        <v>47</v>
      </c>
      <c r="J167">
        <v>0.5</v>
      </c>
      <c r="K167">
        <v>1</v>
      </c>
      <c r="L167">
        <v>14</v>
      </c>
      <c r="M167" t="s">
        <v>45</v>
      </c>
      <c r="N167" t="s">
        <v>47</v>
      </c>
      <c r="O167">
        <v>1</v>
      </c>
      <c r="P167">
        <v>8</v>
      </c>
    </row>
    <row r="168" spans="1:16" x14ac:dyDescent="0.4">
      <c r="A168" t="s">
        <v>217</v>
      </c>
      <c r="B168">
        <v>18</v>
      </c>
      <c r="C168" t="s">
        <v>43</v>
      </c>
      <c r="D168" t="s">
        <v>44</v>
      </c>
      <c r="E168" t="s">
        <v>47</v>
      </c>
      <c r="F168">
        <v>0</v>
      </c>
      <c r="G168" t="s">
        <v>50</v>
      </c>
      <c r="H168" t="s">
        <v>47</v>
      </c>
      <c r="I168" t="s">
        <v>47</v>
      </c>
      <c r="J168">
        <v>0.75</v>
      </c>
      <c r="K168">
        <v>0</v>
      </c>
      <c r="L168">
        <v>8</v>
      </c>
      <c r="M168" t="s">
        <v>45</v>
      </c>
      <c r="N168" t="s">
        <v>47</v>
      </c>
      <c r="O168">
        <v>5</v>
      </c>
      <c r="P168">
        <v>11</v>
      </c>
    </row>
    <row r="169" spans="1:16" x14ac:dyDescent="0.4">
      <c r="A169" t="s">
        <v>218</v>
      </c>
      <c r="B169">
        <v>15</v>
      </c>
      <c r="C169" t="s">
        <v>43</v>
      </c>
      <c r="D169" t="s">
        <v>49</v>
      </c>
      <c r="E169" t="s">
        <v>45</v>
      </c>
      <c r="F169">
        <v>0</v>
      </c>
      <c r="G169" t="s">
        <v>46</v>
      </c>
      <c r="H169" t="s">
        <v>45</v>
      </c>
      <c r="I169" t="s">
        <v>47</v>
      </c>
      <c r="J169">
        <v>4.25</v>
      </c>
      <c r="K169">
        <v>0</v>
      </c>
      <c r="L169">
        <v>4</v>
      </c>
      <c r="M169" t="s">
        <v>45</v>
      </c>
      <c r="N169" t="s">
        <v>45</v>
      </c>
      <c r="O169">
        <v>1</v>
      </c>
      <c r="P169">
        <v>10</v>
      </c>
    </row>
    <row r="170" spans="1:16" x14ac:dyDescent="0.4">
      <c r="A170" t="s">
        <v>219</v>
      </c>
      <c r="B170">
        <v>17</v>
      </c>
      <c r="C170" t="s">
        <v>43</v>
      </c>
      <c r="D170" t="s">
        <v>49</v>
      </c>
      <c r="E170" t="s">
        <v>45</v>
      </c>
      <c r="F170">
        <v>0</v>
      </c>
      <c r="G170" t="s">
        <v>50</v>
      </c>
      <c r="H170" t="s">
        <v>45</v>
      </c>
      <c r="I170" t="s">
        <v>47</v>
      </c>
      <c r="J170">
        <v>0.75</v>
      </c>
      <c r="K170">
        <v>0</v>
      </c>
      <c r="L170">
        <v>8</v>
      </c>
      <c r="M170" t="s">
        <v>47</v>
      </c>
      <c r="N170" t="s">
        <v>45</v>
      </c>
      <c r="O170">
        <v>5</v>
      </c>
      <c r="P170">
        <v>9</v>
      </c>
    </row>
    <row r="171" spans="1:16" x14ac:dyDescent="0.4">
      <c r="A171" t="s">
        <v>220</v>
      </c>
      <c r="B171">
        <v>17</v>
      </c>
      <c r="C171" t="s">
        <v>56</v>
      </c>
      <c r="D171" t="s">
        <v>44</v>
      </c>
      <c r="E171" t="s">
        <v>45</v>
      </c>
      <c r="F171">
        <v>0</v>
      </c>
      <c r="G171" t="s">
        <v>46</v>
      </c>
      <c r="H171" t="s">
        <v>47</v>
      </c>
      <c r="I171" t="s">
        <v>47</v>
      </c>
      <c r="J171">
        <v>9.25</v>
      </c>
      <c r="K171">
        <v>0</v>
      </c>
      <c r="L171">
        <v>10</v>
      </c>
      <c r="M171" t="s">
        <v>45</v>
      </c>
      <c r="N171" t="s">
        <v>45</v>
      </c>
      <c r="O171">
        <v>2</v>
      </c>
      <c r="P171">
        <v>11</v>
      </c>
    </row>
    <row r="172" spans="1:16" x14ac:dyDescent="0.4">
      <c r="A172" t="s">
        <v>221</v>
      </c>
      <c r="B172">
        <v>19</v>
      </c>
      <c r="C172" t="s">
        <v>56</v>
      </c>
      <c r="D172" t="s">
        <v>44</v>
      </c>
      <c r="E172" t="s">
        <v>45</v>
      </c>
      <c r="F172">
        <v>0</v>
      </c>
      <c r="G172" t="s">
        <v>46</v>
      </c>
      <c r="H172" t="s">
        <v>47</v>
      </c>
      <c r="I172" t="s">
        <v>47</v>
      </c>
      <c r="J172">
        <v>2.25</v>
      </c>
      <c r="K172">
        <v>2</v>
      </c>
      <c r="L172">
        <v>0</v>
      </c>
      <c r="M172" t="s">
        <v>47</v>
      </c>
      <c r="N172" t="s">
        <v>47</v>
      </c>
      <c r="O172">
        <v>1</v>
      </c>
      <c r="P172">
        <v>11</v>
      </c>
    </row>
    <row r="173" spans="1:16" x14ac:dyDescent="0.4">
      <c r="A173" t="s">
        <v>222</v>
      </c>
      <c r="B173">
        <v>17</v>
      </c>
      <c r="C173" t="s">
        <v>43</v>
      </c>
      <c r="D173" t="s">
        <v>44</v>
      </c>
      <c r="E173" t="s">
        <v>47</v>
      </c>
      <c r="F173">
        <v>2</v>
      </c>
      <c r="G173" t="s">
        <v>46</v>
      </c>
      <c r="H173" t="s">
        <v>47</v>
      </c>
      <c r="I173" t="s">
        <v>47</v>
      </c>
      <c r="J173">
        <v>0</v>
      </c>
      <c r="K173">
        <v>0</v>
      </c>
      <c r="L173">
        <v>0</v>
      </c>
      <c r="M173" t="s">
        <v>45</v>
      </c>
      <c r="N173" t="s">
        <v>47</v>
      </c>
      <c r="O173">
        <v>2</v>
      </c>
      <c r="P173">
        <v>13</v>
      </c>
    </row>
    <row r="174" spans="1:16" x14ac:dyDescent="0.4">
      <c r="A174" t="s">
        <v>223</v>
      </c>
      <c r="B174">
        <v>16</v>
      </c>
      <c r="C174" t="s">
        <v>43</v>
      </c>
      <c r="D174" t="s">
        <v>44</v>
      </c>
      <c r="E174" t="s">
        <v>45</v>
      </c>
      <c r="F174">
        <v>0</v>
      </c>
      <c r="G174" t="s">
        <v>50</v>
      </c>
      <c r="H174" t="s">
        <v>47</v>
      </c>
      <c r="I174" t="s">
        <v>45</v>
      </c>
      <c r="J174">
        <v>9.5</v>
      </c>
      <c r="K174">
        <v>0</v>
      </c>
      <c r="L174">
        <v>0</v>
      </c>
      <c r="M174" t="s">
        <v>45</v>
      </c>
      <c r="N174" t="s">
        <v>47</v>
      </c>
      <c r="O174">
        <v>1</v>
      </c>
      <c r="P174">
        <v>11</v>
      </c>
    </row>
    <row r="175" spans="1:16" x14ac:dyDescent="0.4">
      <c r="A175" t="s">
        <v>224</v>
      </c>
      <c r="B175">
        <v>16</v>
      </c>
      <c r="C175" t="s">
        <v>56</v>
      </c>
      <c r="D175" t="s">
        <v>44</v>
      </c>
      <c r="E175" t="s">
        <v>45</v>
      </c>
      <c r="F175">
        <v>0</v>
      </c>
      <c r="G175" t="s">
        <v>50</v>
      </c>
      <c r="H175" t="s">
        <v>45</v>
      </c>
      <c r="I175" t="s">
        <v>45</v>
      </c>
      <c r="J175">
        <v>10.25</v>
      </c>
      <c r="K175">
        <v>0</v>
      </c>
      <c r="L175">
        <v>0</v>
      </c>
      <c r="M175" t="s">
        <v>45</v>
      </c>
      <c r="N175" t="s">
        <v>47</v>
      </c>
      <c r="O175">
        <v>1</v>
      </c>
      <c r="P175">
        <v>14</v>
      </c>
    </row>
    <row r="176" spans="1:16" x14ac:dyDescent="0.4">
      <c r="A176" t="s">
        <v>225</v>
      </c>
      <c r="B176">
        <v>16</v>
      </c>
      <c r="C176" t="s">
        <v>56</v>
      </c>
      <c r="D176" t="s">
        <v>44</v>
      </c>
      <c r="E176" t="s">
        <v>47</v>
      </c>
      <c r="F176">
        <v>0</v>
      </c>
      <c r="G176" t="s">
        <v>50</v>
      </c>
      <c r="H176" t="s">
        <v>45</v>
      </c>
      <c r="I176" t="s">
        <v>47</v>
      </c>
      <c r="J176">
        <v>10.75</v>
      </c>
      <c r="K176">
        <v>0</v>
      </c>
      <c r="L176">
        <v>4</v>
      </c>
      <c r="M176" t="s">
        <v>47</v>
      </c>
      <c r="N176" t="s">
        <v>45</v>
      </c>
      <c r="O176">
        <v>1</v>
      </c>
      <c r="P176">
        <v>11</v>
      </c>
    </row>
    <row r="177" spans="1:16" x14ac:dyDescent="0.4">
      <c r="A177" t="s">
        <v>226</v>
      </c>
      <c r="B177">
        <v>16</v>
      </c>
      <c r="C177" t="s">
        <v>43</v>
      </c>
      <c r="D177" t="s">
        <v>44</v>
      </c>
      <c r="E177" t="s">
        <v>47</v>
      </c>
      <c r="F177">
        <v>1</v>
      </c>
      <c r="G177" t="s">
        <v>46</v>
      </c>
      <c r="H177" t="s">
        <v>45</v>
      </c>
      <c r="I177" t="s">
        <v>47</v>
      </c>
      <c r="J177">
        <v>0.75</v>
      </c>
      <c r="K177">
        <v>0</v>
      </c>
      <c r="L177">
        <v>7</v>
      </c>
      <c r="M177" t="s">
        <v>45</v>
      </c>
      <c r="N177" t="s">
        <v>47</v>
      </c>
      <c r="O177">
        <v>1</v>
      </c>
      <c r="P177">
        <v>15</v>
      </c>
    </row>
    <row r="178" spans="1:16" x14ac:dyDescent="0.4">
      <c r="A178" t="s">
        <v>227</v>
      </c>
      <c r="B178">
        <v>16</v>
      </c>
      <c r="C178" t="s">
        <v>56</v>
      </c>
      <c r="D178" t="s">
        <v>49</v>
      </c>
      <c r="E178" t="s">
        <v>45</v>
      </c>
      <c r="F178">
        <v>0</v>
      </c>
      <c r="G178" t="s">
        <v>46</v>
      </c>
      <c r="H178" t="s">
        <v>45</v>
      </c>
      <c r="I178" t="s">
        <v>45</v>
      </c>
      <c r="J178">
        <v>7.75</v>
      </c>
      <c r="K178">
        <v>0</v>
      </c>
      <c r="L178">
        <v>4</v>
      </c>
      <c r="M178" t="s">
        <v>45</v>
      </c>
      <c r="N178" t="s">
        <v>47</v>
      </c>
      <c r="O178">
        <v>1</v>
      </c>
      <c r="P178">
        <v>11</v>
      </c>
    </row>
    <row r="179" spans="1:16" x14ac:dyDescent="0.4">
      <c r="A179" t="s">
        <v>228</v>
      </c>
      <c r="B179">
        <v>15</v>
      </c>
      <c r="C179" t="s">
        <v>56</v>
      </c>
      <c r="D179" t="s">
        <v>44</v>
      </c>
      <c r="E179" t="s">
        <v>45</v>
      </c>
      <c r="F179">
        <v>1</v>
      </c>
      <c r="G179" t="s">
        <v>46</v>
      </c>
      <c r="H179" t="s">
        <v>45</v>
      </c>
      <c r="I179" t="s">
        <v>47</v>
      </c>
      <c r="J179">
        <v>1</v>
      </c>
      <c r="K179">
        <v>0</v>
      </c>
      <c r="L179">
        <v>6</v>
      </c>
      <c r="M179" t="s">
        <v>45</v>
      </c>
      <c r="N179" t="s">
        <v>47</v>
      </c>
      <c r="O179">
        <v>2</v>
      </c>
      <c r="P179">
        <v>13</v>
      </c>
    </row>
    <row r="180" spans="1:16" x14ac:dyDescent="0.4">
      <c r="A180" t="s">
        <v>229</v>
      </c>
      <c r="B180">
        <v>18</v>
      </c>
      <c r="C180" t="s">
        <v>56</v>
      </c>
      <c r="D180" t="s">
        <v>44</v>
      </c>
      <c r="E180" t="s">
        <v>47</v>
      </c>
      <c r="F180">
        <v>0</v>
      </c>
      <c r="G180" t="s">
        <v>50</v>
      </c>
      <c r="H180" t="s">
        <v>47</v>
      </c>
      <c r="I180" t="s">
        <v>47</v>
      </c>
      <c r="J180">
        <v>2.75</v>
      </c>
      <c r="K180">
        <v>0</v>
      </c>
      <c r="L180">
        <v>2</v>
      </c>
      <c r="M180" t="s">
        <v>45</v>
      </c>
      <c r="N180" t="s">
        <v>45</v>
      </c>
      <c r="O180">
        <v>1</v>
      </c>
      <c r="P180">
        <v>11</v>
      </c>
    </row>
    <row r="181" spans="1:16" x14ac:dyDescent="0.4">
      <c r="A181" t="s">
        <v>230</v>
      </c>
      <c r="B181">
        <v>19</v>
      </c>
      <c r="C181" t="s">
        <v>43</v>
      </c>
      <c r="D181" t="s">
        <v>49</v>
      </c>
      <c r="E181" t="s">
        <v>45</v>
      </c>
      <c r="F181">
        <v>0</v>
      </c>
      <c r="G181" t="s">
        <v>46</v>
      </c>
      <c r="H181" t="s">
        <v>47</v>
      </c>
      <c r="I181" t="s">
        <v>47</v>
      </c>
      <c r="J181">
        <v>1</v>
      </c>
      <c r="K181">
        <v>0</v>
      </c>
      <c r="L181">
        <v>0</v>
      </c>
      <c r="M181" t="s">
        <v>45</v>
      </c>
      <c r="N181" t="s">
        <v>45</v>
      </c>
      <c r="O181">
        <v>2</v>
      </c>
      <c r="P181">
        <v>10</v>
      </c>
    </row>
    <row r="182" spans="1:16" x14ac:dyDescent="0.4">
      <c r="A182" t="s">
        <v>231</v>
      </c>
      <c r="B182">
        <v>16</v>
      </c>
      <c r="C182" t="s">
        <v>56</v>
      </c>
      <c r="D182" t="s">
        <v>49</v>
      </c>
      <c r="E182" t="s">
        <v>47</v>
      </c>
      <c r="F182">
        <v>0</v>
      </c>
      <c r="G182" t="s">
        <v>50</v>
      </c>
      <c r="H182" t="s">
        <v>47</v>
      </c>
      <c r="I182" t="s">
        <v>47</v>
      </c>
      <c r="J182">
        <v>3.25</v>
      </c>
      <c r="K182">
        <v>0</v>
      </c>
      <c r="L182">
        <v>0</v>
      </c>
      <c r="M182" t="s">
        <v>45</v>
      </c>
      <c r="N182" t="s">
        <v>47</v>
      </c>
      <c r="O182">
        <v>1</v>
      </c>
      <c r="P182">
        <v>18</v>
      </c>
    </row>
    <row r="183" spans="1:16" x14ac:dyDescent="0.4">
      <c r="A183" t="s">
        <v>232</v>
      </c>
      <c r="B183">
        <v>16</v>
      </c>
      <c r="C183" t="s">
        <v>56</v>
      </c>
      <c r="D183" t="s">
        <v>44</v>
      </c>
      <c r="E183" t="s">
        <v>45</v>
      </c>
      <c r="F183">
        <v>0</v>
      </c>
      <c r="G183" t="s">
        <v>46</v>
      </c>
      <c r="H183" t="s">
        <v>47</v>
      </c>
      <c r="I183" t="s">
        <v>47</v>
      </c>
      <c r="J183">
        <v>15</v>
      </c>
      <c r="K183">
        <v>0</v>
      </c>
      <c r="L183">
        <v>1</v>
      </c>
      <c r="M183" t="s">
        <v>45</v>
      </c>
      <c r="N183" t="s">
        <v>45</v>
      </c>
      <c r="O183">
        <v>2</v>
      </c>
      <c r="P183">
        <v>13</v>
      </c>
    </row>
    <row r="184" spans="1:16" x14ac:dyDescent="0.4">
      <c r="A184" t="s">
        <v>233</v>
      </c>
      <c r="B184">
        <v>18</v>
      </c>
      <c r="C184" t="s">
        <v>43</v>
      </c>
      <c r="D184" t="s">
        <v>44</v>
      </c>
      <c r="E184" t="s">
        <v>47</v>
      </c>
      <c r="F184">
        <v>0</v>
      </c>
      <c r="G184" t="s">
        <v>46</v>
      </c>
      <c r="H184" t="s">
        <v>45</v>
      </c>
      <c r="I184" t="s">
        <v>45</v>
      </c>
      <c r="J184">
        <v>2.75</v>
      </c>
      <c r="K184">
        <v>0</v>
      </c>
      <c r="L184">
        <v>2</v>
      </c>
      <c r="M184" t="s">
        <v>45</v>
      </c>
      <c r="N184" t="s">
        <v>45</v>
      </c>
      <c r="O184">
        <v>4</v>
      </c>
      <c r="P184">
        <v>11</v>
      </c>
    </row>
    <row r="185" spans="1:16" x14ac:dyDescent="0.4">
      <c r="A185" t="s">
        <v>234</v>
      </c>
      <c r="B185">
        <v>18</v>
      </c>
      <c r="C185" t="s">
        <v>56</v>
      </c>
      <c r="D185" t="s">
        <v>44</v>
      </c>
      <c r="E185" t="s">
        <v>45</v>
      </c>
      <c r="F185">
        <v>2</v>
      </c>
      <c r="G185" t="s">
        <v>46</v>
      </c>
      <c r="H185" t="s">
        <v>47</v>
      </c>
      <c r="I185" t="s">
        <v>47</v>
      </c>
      <c r="J185">
        <v>3.25</v>
      </c>
      <c r="K185">
        <v>0</v>
      </c>
      <c r="L185">
        <v>0</v>
      </c>
      <c r="M185" t="s">
        <v>45</v>
      </c>
      <c r="N185" t="s">
        <v>47</v>
      </c>
      <c r="O185">
        <v>3</v>
      </c>
      <c r="P185">
        <v>13</v>
      </c>
    </row>
    <row r="186" spans="1:16" x14ac:dyDescent="0.4">
      <c r="A186" t="s">
        <v>235</v>
      </c>
      <c r="B186">
        <v>17</v>
      </c>
      <c r="C186" t="s">
        <v>56</v>
      </c>
      <c r="D186" t="s">
        <v>49</v>
      </c>
      <c r="E186" t="s">
        <v>47</v>
      </c>
      <c r="F186">
        <v>0</v>
      </c>
      <c r="G186" t="s">
        <v>46</v>
      </c>
      <c r="H186" t="s">
        <v>45</v>
      </c>
      <c r="I186" t="s">
        <v>47</v>
      </c>
      <c r="J186">
        <v>8</v>
      </c>
      <c r="K186">
        <v>0</v>
      </c>
      <c r="L186">
        <v>4</v>
      </c>
      <c r="M186" t="s">
        <v>45</v>
      </c>
      <c r="N186" t="s">
        <v>47</v>
      </c>
      <c r="O186">
        <v>2</v>
      </c>
      <c r="P186">
        <v>15</v>
      </c>
    </row>
    <row r="187" spans="1:16" x14ac:dyDescent="0.4">
      <c r="A187" t="s">
        <v>236</v>
      </c>
      <c r="B187">
        <v>15</v>
      </c>
      <c r="C187" t="s">
        <v>43</v>
      </c>
      <c r="D187" t="s">
        <v>44</v>
      </c>
      <c r="E187" t="s">
        <v>45</v>
      </c>
      <c r="F187">
        <v>1</v>
      </c>
      <c r="G187" t="s">
        <v>46</v>
      </c>
      <c r="H187" t="s">
        <v>45</v>
      </c>
      <c r="I187" t="s">
        <v>47</v>
      </c>
      <c r="J187">
        <v>2.5</v>
      </c>
      <c r="K187">
        <v>0</v>
      </c>
      <c r="L187">
        <v>0</v>
      </c>
      <c r="M187" t="s">
        <v>45</v>
      </c>
      <c r="N187" t="s">
        <v>47</v>
      </c>
      <c r="O187">
        <v>1</v>
      </c>
      <c r="P187">
        <v>13</v>
      </c>
    </row>
    <row r="188" spans="1:16" x14ac:dyDescent="0.4">
      <c r="A188" t="s">
        <v>237</v>
      </c>
      <c r="B188">
        <v>16</v>
      </c>
      <c r="C188" t="s">
        <v>56</v>
      </c>
      <c r="D188" t="s">
        <v>44</v>
      </c>
      <c r="E188" t="s">
        <v>45</v>
      </c>
      <c r="F188">
        <v>0</v>
      </c>
      <c r="G188" t="s">
        <v>50</v>
      </c>
      <c r="H188" t="s">
        <v>47</v>
      </c>
      <c r="I188" t="s">
        <v>47</v>
      </c>
      <c r="J188">
        <v>0.5</v>
      </c>
      <c r="K188">
        <v>0</v>
      </c>
      <c r="L188">
        <v>2</v>
      </c>
      <c r="M188" t="s">
        <v>45</v>
      </c>
      <c r="N188" t="s">
        <v>47</v>
      </c>
      <c r="O188">
        <v>2</v>
      </c>
      <c r="P188">
        <v>7</v>
      </c>
    </row>
    <row r="189" spans="1:16" x14ac:dyDescent="0.4">
      <c r="A189" t="s">
        <v>238</v>
      </c>
      <c r="B189">
        <v>15</v>
      </c>
      <c r="C189" t="s">
        <v>43</v>
      </c>
      <c r="D189" t="s">
        <v>49</v>
      </c>
      <c r="E189" t="s">
        <v>45</v>
      </c>
      <c r="F189">
        <v>1</v>
      </c>
      <c r="G189" t="s">
        <v>46</v>
      </c>
      <c r="H189" t="s">
        <v>45</v>
      </c>
      <c r="I189" t="s">
        <v>47</v>
      </c>
      <c r="J189">
        <v>3.5</v>
      </c>
      <c r="K189">
        <v>0</v>
      </c>
      <c r="L189">
        <v>0</v>
      </c>
      <c r="M189" t="s">
        <v>45</v>
      </c>
      <c r="N189" t="s">
        <v>45</v>
      </c>
      <c r="O189">
        <v>1</v>
      </c>
      <c r="P189">
        <v>15</v>
      </c>
    </row>
    <row r="190" spans="1:16" x14ac:dyDescent="0.4">
      <c r="A190" t="s">
        <v>239</v>
      </c>
      <c r="B190">
        <v>17</v>
      </c>
      <c r="C190" t="s">
        <v>43</v>
      </c>
      <c r="D190" t="s">
        <v>44</v>
      </c>
      <c r="E190" t="s">
        <v>45</v>
      </c>
      <c r="F190">
        <v>0</v>
      </c>
      <c r="G190" t="s">
        <v>46</v>
      </c>
      <c r="H190" t="s">
        <v>45</v>
      </c>
      <c r="I190" t="s">
        <v>47</v>
      </c>
      <c r="J190">
        <v>4.25</v>
      </c>
      <c r="K190">
        <v>0</v>
      </c>
      <c r="L190">
        <v>6</v>
      </c>
      <c r="M190" t="s">
        <v>45</v>
      </c>
      <c r="N190" t="s">
        <v>45</v>
      </c>
      <c r="O190">
        <v>2</v>
      </c>
      <c r="P190">
        <v>14</v>
      </c>
    </row>
    <row r="191" spans="1:16" x14ac:dyDescent="0.4">
      <c r="A191" t="s">
        <v>240</v>
      </c>
      <c r="B191">
        <v>17</v>
      </c>
      <c r="C191" t="s">
        <v>56</v>
      </c>
      <c r="D191" t="s">
        <v>49</v>
      </c>
      <c r="E191" t="s">
        <v>45</v>
      </c>
      <c r="F191">
        <v>1</v>
      </c>
      <c r="G191" t="s">
        <v>50</v>
      </c>
      <c r="H191" t="s">
        <v>47</v>
      </c>
      <c r="I191" t="s">
        <v>47</v>
      </c>
      <c r="J191">
        <v>1</v>
      </c>
      <c r="K191">
        <v>0</v>
      </c>
      <c r="L191">
        <v>1</v>
      </c>
      <c r="M191" t="s">
        <v>45</v>
      </c>
      <c r="N191" t="s">
        <v>45</v>
      </c>
      <c r="O191">
        <v>1</v>
      </c>
      <c r="P191">
        <v>14</v>
      </c>
    </row>
    <row r="192" spans="1:16" x14ac:dyDescent="0.4">
      <c r="A192" t="s">
        <v>241</v>
      </c>
      <c r="B192">
        <v>17</v>
      </c>
      <c r="C192" t="s">
        <v>56</v>
      </c>
      <c r="D192" t="s">
        <v>44</v>
      </c>
      <c r="E192" t="s">
        <v>47</v>
      </c>
      <c r="F192">
        <v>1</v>
      </c>
      <c r="G192" t="s">
        <v>46</v>
      </c>
      <c r="H192" t="s">
        <v>45</v>
      </c>
      <c r="I192" t="s">
        <v>47</v>
      </c>
      <c r="J192">
        <v>4</v>
      </c>
      <c r="K192">
        <v>0</v>
      </c>
      <c r="L192">
        <v>0</v>
      </c>
      <c r="M192" t="s">
        <v>45</v>
      </c>
      <c r="N192" t="s">
        <v>45</v>
      </c>
      <c r="O192">
        <v>1</v>
      </c>
      <c r="P192">
        <v>12</v>
      </c>
    </row>
    <row r="193" spans="1:16" x14ac:dyDescent="0.4">
      <c r="A193" t="s">
        <v>242</v>
      </c>
      <c r="B193">
        <v>18</v>
      </c>
      <c r="C193" t="s">
        <v>56</v>
      </c>
      <c r="D193" t="s">
        <v>44</v>
      </c>
      <c r="E193" t="s">
        <v>47</v>
      </c>
      <c r="F193">
        <v>0</v>
      </c>
      <c r="G193" t="s">
        <v>50</v>
      </c>
      <c r="H193" t="s">
        <v>47</v>
      </c>
      <c r="I193" t="s">
        <v>47</v>
      </c>
      <c r="J193">
        <v>3.75</v>
      </c>
      <c r="K193">
        <v>0</v>
      </c>
      <c r="L193">
        <v>4</v>
      </c>
      <c r="M193" t="s">
        <v>45</v>
      </c>
      <c r="N193" t="s">
        <v>47</v>
      </c>
      <c r="O193">
        <v>1</v>
      </c>
      <c r="P193">
        <v>16</v>
      </c>
    </row>
    <row r="194" spans="1:16" x14ac:dyDescent="0.4">
      <c r="A194" t="s">
        <v>243</v>
      </c>
      <c r="B194">
        <v>15</v>
      </c>
      <c r="C194" t="s">
        <v>43</v>
      </c>
      <c r="D194" t="s">
        <v>44</v>
      </c>
      <c r="E194" t="s">
        <v>47</v>
      </c>
      <c r="F194">
        <v>1</v>
      </c>
      <c r="G194" t="s">
        <v>46</v>
      </c>
      <c r="H194" t="s">
        <v>47</v>
      </c>
      <c r="I194" t="s">
        <v>47</v>
      </c>
      <c r="J194">
        <v>0.25</v>
      </c>
      <c r="K194">
        <v>0</v>
      </c>
      <c r="L194">
        <v>10</v>
      </c>
      <c r="M194" t="s">
        <v>45</v>
      </c>
      <c r="N194" t="s">
        <v>47</v>
      </c>
      <c r="O194">
        <v>1</v>
      </c>
      <c r="P194">
        <v>18</v>
      </c>
    </row>
    <row r="195" spans="1:16" x14ac:dyDescent="0.4">
      <c r="A195" t="s">
        <v>244</v>
      </c>
      <c r="B195">
        <v>16</v>
      </c>
      <c r="C195" t="s">
        <v>43</v>
      </c>
      <c r="D195" t="s">
        <v>49</v>
      </c>
      <c r="E195" t="s">
        <v>45</v>
      </c>
      <c r="F195">
        <v>0</v>
      </c>
      <c r="G195" t="s">
        <v>50</v>
      </c>
      <c r="H195" t="s">
        <v>45</v>
      </c>
      <c r="I195" t="s">
        <v>47</v>
      </c>
      <c r="J195">
        <v>1.75</v>
      </c>
      <c r="K195">
        <v>0</v>
      </c>
      <c r="L195">
        <v>6</v>
      </c>
      <c r="M195" t="s">
        <v>45</v>
      </c>
      <c r="N195" t="s">
        <v>47</v>
      </c>
      <c r="O195">
        <v>3</v>
      </c>
      <c r="P195">
        <v>11</v>
      </c>
    </row>
    <row r="196" spans="1:16" x14ac:dyDescent="0.4">
      <c r="A196" t="s">
        <v>245</v>
      </c>
      <c r="B196">
        <v>15</v>
      </c>
      <c r="C196" t="s">
        <v>43</v>
      </c>
      <c r="D196" t="s">
        <v>44</v>
      </c>
      <c r="E196" t="s">
        <v>45</v>
      </c>
      <c r="F196">
        <v>2</v>
      </c>
      <c r="G196" t="s">
        <v>46</v>
      </c>
      <c r="H196" t="s">
        <v>45</v>
      </c>
      <c r="I196" t="s">
        <v>47</v>
      </c>
      <c r="J196">
        <v>4.25</v>
      </c>
      <c r="K196">
        <v>0</v>
      </c>
      <c r="L196">
        <v>4</v>
      </c>
      <c r="M196" t="s">
        <v>45</v>
      </c>
      <c r="N196" t="s">
        <v>47</v>
      </c>
      <c r="O196">
        <v>1</v>
      </c>
      <c r="P196">
        <v>16</v>
      </c>
    </row>
    <row r="197" spans="1:16" x14ac:dyDescent="0.4">
      <c r="A197" t="s">
        <v>246</v>
      </c>
      <c r="B197">
        <v>16</v>
      </c>
      <c r="C197" t="s">
        <v>56</v>
      </c>
      <c r="D197" t="s">
        <v>49</v>
      </c>
      <c r="E197" t="s">
        <v>47</v>
      </c>
      <c r="F197">
        <v>0</v>
      </c>
      <c r="G197" t="s">
        <v>50</v>
      </c>
      <c r="H197" t="s">
        <v>45</v>
      </c>
      <c r="I197" t="s">
        <v>47</v>
      </c>
      <c r="J197">
        <v>3.75</v>
      </c>
      <c r="K197">
        <v>0</v>
      </c>
      <c r="L197">
        <v>0</v>
      </c>
      <c r="M197" t="s">
        <v>45</v>
      </c>
      <c r="N197" t="s">
        <v>45</v>
      </c>
      <c r="O197">
        <v>1</v>
      </c>
      <c r="P197">
        <v>12</v>
      </c>
    </row>
    <row r="198" spans="1:16" x14ac:dyDescent="0.4">
      <c r="A198" t="s">
        <v>247</v>
      </c>
      <c r="B198">
        <v>17</v>
      </c>
      <c r="C198" t="s">
        <v>56</v>
      </c>
      <c r="D198" t="s">
        <v>44</v>
      </c>
      <c r="E198" t="s">
        <v>45</v>
      </c>
      <c r="F198">
        <v>0</v>
      </c>
      <c r="G198" t="s">
        <v>46</v>
      </c>
      <c r="H198" t="s">
        <v>45</v>
      </c>
      <c r="I198" t="s">
        <v>47</v>
      </c>
      <c r="J198">
        <v>5.25</v>
      </c>
      <c r="K198">
        <v>0</v>
      </c>
      <c r="L198">
        <v>0</v>
      </c>
      <c r="M198" t="s">
        <v>45</v>
      </c>
      <c r="N198" t="s">
        <v>47</v>
      </c>
      <c r="O198">
        <v>1</v>
      </c>
      <c r="P198">
        <v>13</v>
      </c>
    </row>
    <row r="199" spans="1:16" x14ac:dyDescent="0.4">
      <c r="A199" t="s">
        <v>248</v>
      </c>
      <c r="B199">
        <v>15</v>
      </c>
      <c r="C199" t="s">
        <v>56</v>
      </c>
      <c r="D199" t="s">
        <v>44</v>
      </c>
      <c r="E199" t="s">
        <v>45</v>
      </c>
      <c r="F199">
        <v>1</v>
      </c>
      <c r="G199" t="s">
        <v>46</v>
      </c>
      <c r="H199" t="s">
        <v>45</v>
      </c>
      <c r="I199" t="s">
        <v>47</v>
      </c>
      <c r="J199">
        <v>4.75</v>
      </c>
      <c r="K199">
        <v>0</v>
      </c>
      <c r="L199">
        <v>0</v>
      </c>
      <c r="M199" t="s">
        <v>45</v>
      </c>
      <c r="N199" t="s">
        <v>47</v>
      </c>
      <c r="O199">
        <v>1</v>
      </c>
      <c r="P199">
        <v>15</v>
      </c>
    </row>
    <row r="200" spans="1:16" x14ac:dyDescent="0.4">
      <c r="A200" t="s">
        <v>249</v>
      </c>
      <c r="B200">
        <v>15</v>
      </c>
      <c r="C200" t="s">
        <v>56</v>
      </c>
      <c r="D200" t="s">
        <v>44</v>
      </c>
      <c r="E200" t="s">
        <v>45</v>
      </c>
      <c r="F200">
        <v>0</v>
      </c>
      <c r="G200" t="s">
        <v>46</v>
      </c>
      <c r="H200" t="s">
        <v>45</v>
      </c>
      <c r="I200" t="s">
        <v>47</v>
      </c>
      <c r="J200">
        <v>4</v>
      </c>
      <c r="K200">
        <v>0</v>
      </c>
      <c r="L200">
        <v>2</v>
      </c>
      <c r="M200" t="s">
        <v>45</v>
      </c>
      <c r="N200" t="s">
        <v>47</v>
      </c>
      <c r="O200">
        <v>2</v>
      </c>
      <c r="P200">
        <v>12</v>
      </c>
    </row>
    <row r="201" spans="1:16" x14ac:dyDescent="0.4">
      <c r="A201" t="s">
        <v>250</v>
      </c>
      <c r="B201">
        <v>17</v>
      </c>
      <c r="C201" t="s">
        <v>56</v>
      </c>
      <c r="D201" t="s">
        <v>44</v>
      </c>
      <c r="E201" t="s">
        <v>45</v>
      </c>
      <c r="F201">
        <v>0</v>
      </c>
      <c r="G201" t="s">
        <v>46</v>
      </c>
      <c r="H201" t="s">
        <v>45</v>
      </c>
      <c r="I201" t="s">
        <v>47</v>
      </c>
      <c r="J201">
        <v>1.75</v>
      </c>
      <c r="K201">
        <v>0</v>
      </c>
      <c r="L201">
        <v>2</v>
      </c>
      <c r="M201" t="s">
        <v>45</v>
      </c>
      <c r="N201" t="s">
        <v>47</v>
      </c>
      <c r="O201">
        <v>3</v>
      </c>
      <c r="P201">
        <v>11</v>
      </c>
    </row>
    <row r="202" spans="1:16" x14ac:dyDescent="0.4">
      <c r="A202" t="s">
        <v>251</v>
      </c>
      <c r="B202">
        <v>18</v>
      </c>
      <c r="C202" t="s">
        <v>56</v>
      </c>
      <c r="D202" t="s">
        <v>49</v>
      </c>
      <c r="E202" t="s">
        <v>45</v>
      </c>
      <c r="F202">
        <v>0</v>
      </c>
      <c r="G202" t="s">
        <v>50</v>
      </c>
      <c r="H202" t="s">
        <v>47</v>
      </c>
      <c r="I202" t="s">
        <v>47</v>
      </c>
      <c r="J202">
        <v>6.75</v>
      </c>
      <c r="K202">
        <v>0</v>
      </c>
      <c r="L202">
        <v>0</v>
      </c>
      <c r="M202" t="s">
        <v>45</v>
      </c>
      <c r="N202" t="s">
        <v>47</v>
      </c>
      <c r="O202">
        <v>2</v>
      </c>
      <c r="P202">
        <v>15</v>
      </c>
    </row>
    <row r="203" spans="1:16" x14ac:dyDescent="0.4">
      <c r="A203" t="s">
        <v>252</v>
      </c>
      <c r="B203">
        <v>16</v>
      </c>
      <c r="C203" t="s">
        <v>56</v>
      </c>
      <c r="D203" t="s">
        <v>44</v>
      </c>
      <c r="E203" t="s">
        <v>45</v>
      </c>
      <c r="F203">
        <v>0</v>
      </c>
      <c r="G203" t="s">
        <v>50</v>
      </c>
      <c r="H203" t="s">
        <v>47</v>
      </c>
      <c r="I203" t="s">
        <v>47</v>
      </c>
      <c r="J203">
        <v>1.5</v>
      </c>
      <c r="K203">
        <v>0</v>
      </c>
      <c r="L203">
        <v>11</v>
      </c>
      <c r="M203" t="s">
        <v>47</v>
      </c>
      <c r="N203" t="s">
        <v>45</v>
      </c>
      <c r="O203">
        <v>2</v>
      </c>
      <c r="P203">
        <v>11</v>
      </c>
    </row>
    <row r="204" spans="1:16" x14ac:dyDescent="0.4">
      <c r="A204" t="s">
        <v>253</v>
      </c>
      <c r="B204">
        <v>17</v>
      </c>
      <c r="C204" t="s">
        <v>43</v>
      </c>
      <c r="D204" t="s">
        <v>44</v>
      </c>
      <c r="E204" t="s">
        <v>45</v>
      </c>
      <c r="F204">
        <v>0</v>
      </c>
      <c r="G204" t="s">
        <v>50</v>
      </c>
      <c r="H204" t="s">
        <v>47</v>
      </c>
      <c r="I204" t="s">
        <v>47</v>
      </c>
      <c r="J204">
        <v>3</v>
      </c>
      <c r="K204">
        <v>0</v>
      </c>
      <c r="L204">
        <v>0</v>
      </c>
      <c r="M204" t="s">
        <v>45</v>
      </c>
      <c r="N204" t="s">
        <v>45</v>
      </c>
      <c r="O204">
        <v>3</v>
      </c>
      <c r="P204">
        <v>10</v>
      </c>
    </row>
    <row r="205" spans="1:16" x14ac:dyDescent="0.4">
      <c r="A205" t="s">
        <v>254</v>
      </c>
      <c r="B205">
        <v>17</v>
      </c>
      <c r="C205" t="s">
        <v>43</v>
      </c>
      <c r="D205" t="s">
        <v>44</v>
      </c>
      <c r="E205" t="s">
        <v>45</v>
      </c>
      <c r="F205">
        <v>2</v>
      </c>
      <c r="G205" t="s">
        <v>46</v>
      </c>
      <c r="H205" t="s">
        <v>47</v>
      </c>
      <c r="I205" t="s">
        <v>47</v>
      </c>
      <c r="J205">
        <v>1.75</v>
      </c>
      <c r="K205">
        <v>0</v>
      </c>
      <c r="L205">
        <v>4</v>
      </c>
      <c r="M205" t="s">
        <v>45</v>
      </c>
      <c r="N205" t="s">
        <v>47</v>
      </c>
      <c r="O205">
        <v>1</v>
      </c>
      <c r="P205">
        <v>14</v>
      </c>
    </row>
    <row r="206" spans="1:16" x14ac:dyDescent="0.4">
      <c r="A206" t="s">
        <v>255</v>
      </c>
      <c r="B206">
        <v>18</v>
      </c>
      <c r="C206" t="s">
        <v>56</v>
      </c>
      <c r="D206" t="s">
        <v>44</v>
      </c>
      <c r="E206" t="s">
        <v>45</v>
      </c>
      <c r="F206">
        <v>1</v>
      </c>
      <c r="G206" t="s">
        <v>50</v>
      </c>
      <c r="H206" t="s">
        <v>47</v>
      </c>
      <c r="I206" t="s">
        <v>47</v>
      </c>
      <c r="J206">
        <v>4.5</v>
      </c>
      <c r="K206">
        <v>1</v>
      </c>
      <c r="L206">
        <v>8</v>
      </c>
      <c r="M206" t="s">
        <v>45</v>
      </c>
      <c r="N206" t="s">
        <v>47</v>
      </c>
      <c r="O206">
        <v>2</v>
      </c>
      <c r="P206">
        <v>8</v>
      </c>
    </row>
    <row r="207" spans="1:16" x14ac:dyDescent="0.4">
      <c r="A207" t="s">
        <v>256</v>
      </c>
      <c r="B207">
        <v>18</v>
      </c>
      <c r="C207" t="s">
        <v>56</v>
      </c>
      <c r="D207" t="s">
        <v>44</v>
      </c>
      <c r="E207" t="s">
        <v>45</v>
      </c>
      <c r="F207">
        <v>0</v>
      </c>
      <c r="G207" t="s">
        <v>46</v>
      </c>
      <c r="H207" t="s">
        <v>47</v>
      </c>
      <c r="I207" t="s">
        <v>47</v>
      </c>
      <c r="J207">
        <v>9.5</v>
      </c>
      <c r="K207">
        <v>0</v>
      </c>
      <c r="L207">
        <v>0</v>
      </c>
      <c r="M207" t="s">
        <v>45</v>
      </c>
      <c r="N207" t="s">
        <v>47</v>
      </c>
      <c r="O207">
        <v>1</v>
      </c>
      <c r="P207">
        <v>18</v>
      </c>
    </row>
    <row r="208" spans="1:16" x14ac:dyDescent="0.4">
      <c r="A208" t="s">
        <v>257</v>
      </c>
      <c r="B208">
        <v>17</v>
      </c>
      <c r="C208" t="s">
        <v>56</v>
      </c>
      <c r="D208" t="s">
        <v>44</v>
      </c>
      <c r="E208" t="s">
        <v>45</v>
      </c>
      <c r="F208">
        <v>0</v>
      </c>
      <c r="G208" t="s">
        <v>46</v>
      </c>
      <c r="H208" t="s">
        <v>45</v>
      </c>
      <c r="I208" t="s">
        <v>47</v>
      </c>
      <c r="J208">
        <v>3.25</v>
      </c>
      <c r="K208">
        <v>0</v>
      </c>
      <c r="L208">
        <v>4</v>
      </c>
      <c r="M208" t="s">
        <v>45</v>
      </c>
      <c r="N208" t="s">
        <v>47</v>
      </c>
      <c r="O208">
        <v>1</v>
      </c>
      <c r="P208">
        <v>15</v>
      </c>
    </row>
    <row r="209" spans="1:16" x14ac:dyDescent="0.4">
      <c r="A209" t="s">
        <v>258</v>
      </c>
      <c r="B209">
        <v>17</v>
      </c>
      <c r="C209" t="s">
        <v>43</v>
      </c>
      <c r="D209" t="s">
        <v>49</v>
      </c>
      <c r="E209" t="s">
        <v>47</v>
      </c>
      <c r="F209">
        <v>0</v>
      </c>
      <c r="G209" t="s">
        <v>46</v>
      </c>
      <c r="H209" t="s">
        <v>45</v>
      </c>
      <c r="I209" t="s">
        <v>47</v>
      </c>
      <c r="J209">
        <v>1.5</v>
      </c>
      <c r="K209">
        <v>1</v>
      </c>
      <c r="L209">
        <v>8</v>
      </c>
      <c r="M209" t="s">
        <v>47</v>
      </c>
      <c r="N209" t="s">
        <v>45</v>
      </c>
      <c r="O209">
        <v>2</v>
      </c>
      <c r="P209">
        <v>9</v>
      </c>
    </row>
    <row r="210" spans="1:16" x14ac:dyDescent="0.4">
      <c r="A210" t="s">
        <v>259</v>
      </c>
      <c r="B210">
        <v>15</v>
      </c>
      <c r="C210" t="s">
        <v>56</v>
      </c>
      <c r="D210" t="s">
        <v>49</v>
      </c>
      <c r="E210" t="s">
        <v>45</v>
      </c>
      <c r="F210">
        <v>0</v>
      </c>
      <c r="G210" t="s">
        <v>46</v>
      </c>
      <c r="H210" t="s">
        <v>45</v>
      </c>
      <c r="I210" t="s">
        <v>45</v>
      </c>
      <c r="J210">
        <v>12</v>
      </c>
      <c r="K210">
        <v>0</v>
      </c>
      <c r="L210">
        <v>4</v>
      </c>
      <c r="M210" t="s">
        <v>45</v>
      </c>
      <c r="N210" t="s">
        <v>47</v>
      </c>
      <c r="O210">
        <v>1</v>
      </c>
      <c r="P210">
        <v>13</v>
      </c>
    </row>
    <row r="211" spans="1:16" x14ac:dyDescent="0.4">
      <c r="A211" t="s">
        <v>260</v>
      </c>
      <c r="B211">
        <v>16</v>
      </c>
      <c r="C211" t="s">
        <v>56</v>
      </c>
      <c r="D211" t="s">
        <v>49</v>
      </c>
      <c r="E211" t="s">
        <v>45</v>
      </c>
      <c r="F211">
        <v>0</v>
      </c>
      <c r="G211" t="s">
        <v>50</v>
      </c>
      <c r="H211" t="s">
        <v>45</v>
      </c>
      <c r="I211" t="s">
        <v>47</v>
      </c>
      <c r="J211">
        <v>1.75</v>
      </c>
      <c r="K211">
        <v>0</v>
      </c>
      <c r="L211">
        <v>0</v>
      </c>
      <c r="M211" t="s">
        <v>45</v>
      </c>
      <c r="N211" t="s">
        <v>45</v>
      </c>
      <c r="O211">
        <v>4</v>
      </c>
      <c r="P211">
        <v>14</v>
      </c>
    </row>
    <row r="212" spans="1:16" x14ac:dyDescent="0.4">
      <c r="A212" t="s">
        <v>261</v>
      </c>
      <c r="B212">
        <v>17</v>
      </c>
      <c r="C212" t="s">
        <v>43</v>
      </c>
      <c r="D212" t="s">
        <v>44</v>
      </c>
      <c r="E212" t="s">
        <v>47</v>
      </c>
      <c r="F212">
        <v>0</v>
      </c>
      <c r="G212" t="s">
        <v>50</v>
      </c>
      <c r="H212" t="s">
        <v>47</v>
      </c>
      <c r="I212" t="s">
        <v>47</v>
      </c>
      <c r="J212">
        <v>1.75</v>
      </c>
      <c r="K212">
        <v>0</v>
      </c>
      <c r="L212">
        <v>4</v>
      </c>
      <c r="M212" t="s">
        <v>45</v>
      </c>
      <c r="N212" t="s">
        <v>45</v>
      </c>
      <c r="O212">
        <v>1</v>
      </c>
      <c r="P212">
        <v>12</v>
      </c>
    </row>
    <row r="213" spans="1:16" x14ac:dyDescent="0.4">
      <c r="A213" t="s">
        <v>262</v>
      </c>
      <c r="B213">
        <v>17</v>
      </c>
      <c r="C213" t="s">
        <v>56</v>
      </c>
      <c r="D213" t="s">
        <v>49</v>
      </c>
      <c r="E213" t="s">
        <v>45</v>
      </c>
      <c r="F213">
        <v>0</v>
      </c>
      <c r="G213" t="s">
        <v>46</v>
      </c>
      <c r="H213" t="s">
        <v>45</v>
      </c>
      <c r="I213" t="s">
        <v>47</v>
      </c>
      <c r="J213">
        <v>4.75</v>
      </c>
      <c r="K213">
        <v>0</v>
      </c>
      <c r="L213">
        <v>0</v>
      </c>
      <c r="M213" t="s">
        <v>45</v>
      </c>
      <c r="N213" t="s">
        <v>47</v>
      </c>
      <c r="O213">
        <v>1</v>
      </c>
      <c r="P213">
        <v>11</v>
      </c>
    </row>
    <row r="214" spans="1:16" x14ac:dyDescent="0.4">
      <c r="A214" t="s">
        <v>263</v>
      </c>
      <c r="B214">
        <v>16</v>
      </c>
      <c r="C214" t="s">
        <v>56</v>
      </c>
      <c r="D214" t="s">
        <v>44</v>
      </c>
      <c r="E214" t="s">
        <v>45</v>
      </c>
      <c r="F214">
        <v>0</v>
      </c>
      <c r="G214" t="s">
        <v>46</v>
      </c>
      <c r="H214" t="s">
        <v>45</v>
      </c>
      <c r="I214" t="s">
        <v>47</v>
      </c>
      <c r="J214">
        <v>1.75</v>
      </c>
      <c r="K214">
        <v>0</v>
      </c>
      <c r="L214">
        <v>4</v>
      </c>
      <c r="M214" t="s">
        <v>45</v>
      </c>
      <c r="N214" t="s">
        <v>45</v>
      </c>
      <c r="O214">
        <v>1</v>
      </c>
      <c r="P214">
        <v>10</v>
      </c>
    </row>
    <row r="215" spans="1:16" x14ac:dyDescent="0.4">
      <c r="A215" t="s">
        <v>264</v>
      </c>
      <c r="B215">
        <v>15</v>
      </c>
      <c r="C215" t="s">
        <v>43</v>
      </c>
      <c r="D215" t="s">
        <v>44</v>
      </c>
      <c r="E215" t="s">
        <v>45</v>
      </c>
      <c r="F215">
        <v>2</v>
      </c>
      <c r="G215" t="s">
        <v>46</v>
      </c>
      <c r="H215" t="s">
        <v>45</v>
      </c>
      <c r="I215" t="s">
        <v>47</v>
      </c>
      <c r="J215">
        <v>4</v>
      </c>
      <c r="K215">
        <v>0</v>
      </c>
      <c r="L215">
        <v>0</v>
      </c>
      <c r="M215" t="s">
        <v>45</v>
      </c>
      <c r="N215" t="s">
        <v>47</v>
      </c>
      <c r="O215">
        <v>1</v>
      </c>
      <c r="P215">
        <v>15</v>
      </c>
    </row>
    <row r="216" spans="1:16" x14ac:dyDescent="0.4">
      <c r="A216" t="s">
        <v>265</v>
      </c>
      <c r="B216">
        <v>15</v>
      </c>
      <c r="C216" t="s">
        <v>56</v>
      </c>
      <c r="D216" t="s">
        <v>44</v>
      </c>
      <c r="E216" t="s">
        <v>45</v>
      </c>
      <c r="F216">
        <v>2</v>
      </c>
      <c r="G216" t="s">
        <v>46</v>
      </c>
      <c r="H216" t="s">
        <v>45</v>
      </c>
      <c r="I216" t="s">
        <v>47</v>
      </c>
      <c r="J216">
        <v>6.5</v>
      </c>
      <c r="K216">
        <v>0</v>
      </c>
      <c r="L216">
        <v>2</v>
      </c>
      <c r="M216" t="s">
        <v>45</v>
      </c>
      <c r="N216" t="s">
        <v>47</v>
      </c>
      <c r="O216">
        <v>1</v>
      </c>
      <c r="P216">
        <v>13</v>
      </c>
    </row>
    <row r="217" spans="1:16" x14ac:dyDescent="0.4">
      <c r="A217" t="s">
        <v>266</v>
      </c>
      <c r="B217">
        <v>18</v>
      </c>
      <c r="C217" t="s">
        <v>56</v>
      </c>
      <c r="D217" t="s">
        <v>49</v>
      </c>
      <c r="E217" t="s">
        <v>47</v>
      </c>
      <c r="F217">
        <v>0</v>
      </c>
      <c r="G217" t="s">
        <v>50</v>
      </c>
      <c r="H217" t="s">
        <v>47</v>
      </c>
      <c r="I217" t="s">
        <v>47</v>
      </c>
      <c r="J217">
        <v>9.5</v>
      </c>
      <c r="K217">
        <v>2</v>
      </c>
      <c r="L217">
        <v>6</v>
      </c>
      <c r="M217" t="s">
        <v>47</v>
      </c>
      <c r="N217" t="s">
        <v>45</v>
      </c>
      <c r="O217">
        <v>1</v>
      </c>
      <c r="P217">
        <v>10</v>
      </c>
    </row>
    <row r="218" spans="1:16" x14ac:dyDescent="0.4">
      <c r="A218" t="s">
        <v>267</v>
      </c>
      <c r="B218">
        <v>16</v>
      </c>
      <c r="C218" t="s">
        <v>56</v>
      </c>
      <c r="D218" t="s">
        <v>44</v>
      </c>
      <c r="E218" t="s">
        <v>45</v>
      </c>
      <c r="F218">
        <v>0</v>
      </c>
      <c r="G218" t="s">
        <v>46</v>
      </c>
      <c r="H218" t="s">
        <v>47</v>
      </c>
      <c r="I218" t="s">
        <v>47</v>
      </c>
      <c r="J218">
        <v>4.75</v>
      </c>
      <c r="K218">
        <v>0</v>
      </c>
      <c r="L218">
        <v>6</v>
      </c>
      <c r="M218" t="s">
        <v>45</v>
      </c>
      <c r="N218" t="s">
        <v>47</v>
      </c>
      <c r="O218">
        <v>1</v>
      </c>
      <c r="P218">
        <v>13</v>
      </c>
    </row>
    <row r="219" spans="1:16" x14ac:dyDescent="0.4">
      <c r="A219" t="s">
        <v>268</v>
      </c>
      <c r="B219">
        <v>18</v>
      </c>
      <c r="C219" t="s">
        <v>43</v>
      </c>
      <c r="D219" t="s">
        <v>44</v>
      </c>
      <c r="E219" t="s">
        <v>45</v>
      </c>
      <c r="F219">
        <v>0</v>
      </c>
      <c r="G219" t="s">
        <v>46</v>
      </c>
      <c r="H219" t="s">
        <v>45</v>
      </c>
      <c r="I219" t="s">
        <v>47</v>
      </c>
      <c r="J219">
        <v>2.5</v>
      </c>
      <c r="K219">
        <v>0</v>
      </c>
      <c r="L219">
        <v>2</v>
      </c>
      <c r="M219" t="s">
        <v>45</v>
      </c>
      <c r="N219" t="s">
        <v>47</v>
      </c>
      <c r="O219">
        <v>1</v>
      </c>
      <c r="P219">
        <v>16</v>
      </c>
    </row>
    <row r="220" spans="1:16" x14ac:dyDescent="0.4">
      <c r="A220" t="s">
        <v>269</v>
      </c>
      <c r="B220">
        <v>15</v>
      </c>
      <c r="C220" t="s">
        <v>56</v>
      </c>
      <c r="D220" t="s">
        <v>44</v>
      </c>
      <c r="E220" t="s">
        <v>45</v>
      </c>
      <c r="F220">
        <v>0</v>
      </c>
      <c r="G220" t="s">
        <v>46</v>
      </c>
      <c r="H220" t="s">
        <v>47</v>
      </c>
      <c r="I220" t="s">
        <v>47</v>
      </c>
      <c r="J220">
        <v>4.75</v>
      </c>
      <c r="K220">
        <v>0</v>
      </c>
      <c r="L220">
        <v>6</v>
      </c>
      <c r="M220" t="s">
        <v>45</v>
      </c>
      <c r="N220" t="s">
        <v>45</v>
      </c>
      <c r="O220">
        <v>3</v>
      </c>
      <c r="P220">
        <v>11</v>
      </c>
    </row>
    <row r="221" spans="1:16" x14ac:dyDescent="0.4">
      <c r="A221" t="s">
        <v>270</v>
      </c>
      <c r="B221">
        <v>19</v>
      </c>
      <c r="C221" t="s">
        <v>43</v>
      </c>
      <c r="D221" t="s">
        <v>49</v>
      </c>
      <c r="E221" t="s">
        <v>45</v>
      </c>
      <c r="F221">
        <v>0</v>
      </c>
      <c r="G221" t="s">
        <v>50</v>
      </c>
      <c r="H221" t="s">
        <v>47</v>
      </c>
      <c r="I221" t="s">
        <v>47</v>
      </c>
      <c r="J221">
        <v>0.75</v>
      </c>
      <c r="K221">
        <v>1</v>
      </c>
      <c r="L221">
        <v>0</v>
      </c>
      <c r="M221" t="s">
        <v>45</v>
      </c>
      <c r="N221" t="s">
        <v>47</v>
      </c>
      <c r="O221">
        <v>2</v>
      </c>
      <c r="P221">
        <v>0</v>
      </c>
    </row>
    <row r="222" spans="1:16" x14ac:dyDescent="0.4">
      <c r="A222" t="s">
        <v>271</v>
      </c>
      <c r="B222">
        <v>16</v>
      </c>
      <c r="C222" t="s">
        <v>56</v>
      </c>
      <c r="D222" t="s">
        <v>49</v>
      </c>
      <c r="E222" t="s">
        <v>45</v>
      </c>
      <c r="F222">
        <v>0</v>
      </c>
      <c r="G222" t="s">
        <v>50</v>
      </c>
      <c r="H222" t="s">
        <v>45</v>
      </c>
      <c r="I222" t="s">
        <v>47</v>
      </c>
      <c r="J222">
        <v>4.75</v>
      </c>
      <c r="K222">
        <v>0</v>
      </c>
      <c r="L222">
        <v>0</v>
      </c>
      <c r="M222" t="s">
        <v>45</v>
      </c>
      <c r="N222" t="s">
        <v>47</v>
      </c>
      <c r="O222">
        <v>1</v>
      </c>
      <c r="P222">
        <v>10</v>
      </c>
    </row>
    <row r="223" spans="1:16" x14ac:dyDescent="0.4">
      <c r="A223" t="s">
        <v>272</v>
      </c>
      <c r="B223">
        <v>18</v>
      </c>
      <c r="C223" t="s">
        <v>43</v>
      </c>
      <c r="D223" t="s">
        <v>44</v>
      </c>
      <c r="E223" t="s">
        <v>45</v>
      </c>
      <c r="F223">
        <v>0</v>
      </c>
      <c r="G223" t="s">
        <v>46</v>
      </c>
      <c r="H223" t="s">
        <v>45</v>
      </c>
      <c r="I223" t="s">
        <v>47</v>
      </c>
      <c r="J223">
        <v>0.5</v>
      </c>
      <c r="K223">
        <v>1</v>
      </c>
      <c r="L223">
        <v>26</v>
      </c>
      <c r="M223" t="s">
        <v>47</v>
      </c>
      <c r="N223" t="s">
        <v>45</v>
      </c>
      <c r="O223">
        <v>2</v>
      </c>
      <c r="P223">
        <v>8</v>
      </c>
    </row>
    <row r="224" spans="1:16" x14ac:dyDescent="0.4">
      <c r="A224" t="s">
        <v>273</v>
      </c>
      <c r="B224">
        <v>15</v>
      </c>
      <c r="C224" t="s">
        <v>43</v>
      </c>
      <c r="D224" t="s">
        <v>44</v>
      </c>
      <c r="E224" t="s">
        <v>47</v>
      </c>
      <c r="F224">
        <v>0</v>
      </c>
      <c r="G224" t="s">
        <v>46</v>
      </c>
      <c r="H224" t="s">
        <v>47</v>
      </c>
      <c r="I224" t="s">
        <v>47</v>
      </c>
      <c r="J224">
        <v>2.75</v>
      </c>
      <c r="K224">
        <v>0</v>
      </c>
      <c r="L224">
        <v>0</v>
      </c>
      <c r="M224" t="s">
        <v>45</v>
      </c>
      <c r="N224" t="s">
        <v>47</v>
      </c>
      <c r="O224">
        <v>1</v>
      </c>
      <c r="P224">
        <v>17</v>
      </c>
    </row>
    <row r="225" spans="1:16" x14ac:dyDescent="0.4">
      <c r="A225" t="s">
        <v>274</v>
      </c>
      <c r="B225">
        <v>15</v>
      </c>
      <c r="C225" t="s">
        <v>56</v>
      </c>
      <c r="D225" t="s">
        <v>49</v>
      </c>
      <c r="E225" t="s">
        <v>45</v>
      </c>
      <c r="F225">
        <v>0</v>
      </c>
      <c r="G225" t="s">
        <v>50</v>
      </c>
      <c r="H225" t="s">
        <v>47</v>
      </c>
      <c r="I225" t="s">
        <v>47</v>
      </c>
      <c r="J225">
        <v>0.75</v>
      </c>
      <c r="K225">
        <v>0</v>
      </c>
      <c r="L225">
        <v>0</v>
      </c>
      <c r="M225" t="s">
        <v>45</v>
      </c>
      <c r="N225" t="s">
        <v>47</v>
      </c>
      <c r="O225">
        <v>1</v>
      </c>
      <c r="P225">
        <v>16</v>
      </c>
    </row>
    <row r="226" spans="1:16" x14ac:dyDescent="0.4">
      <c r="A226" t="s">
        <v>275</v>
      </c>
      <c r="B226">
        <v>17</v>
      </c>
      <c r="C226" t="s">
        <v>56</v>
      </c>
      <c r="D226" t="s">
        <v>44</v>
      </c>
      <c r="E226" t="s">
        <v>45</v>
      </c>
      <c r="F226">
        <v>1</v>
      </c>
      <c r="G226" t="s">
        <v>50</v>
      </c>
      <c r="H226" t="s">
        <v>47</v>
      </c>
      <c r="I226" t="s">
        <v>47</v>
      </c>
      <c r="J226">
        <v>3.5</v>
      </c>
      <c r="K226">
        <v>0</v>
      </c>
      <c r="L226">
        <v>0</v>
      </c>
      <c r="M226" t="s">
        <v>45</v>
      </c>
      <c r="N226" t="s">
        <v>47</v>
      </c>
      <c r="O226">
        <v>1</v>
      </c>
      <c r="P226">
        <v>11</v>
      </c>
    </row>
    <row r="227" spans="1:16" x14ac:dyDescent="0.4">
      <c r="A227" t="s">
        <v>276</v>
      </c>
      <c r="B227">
        <v>17</v>
      </c>
      <c r="C227" t="s">
        <v>43</v>
      </c>
      <c r="D227" t="s">
        <v>44</v>
      </c>
      <c r="E227" t="s">
        <v>47</v>
      </c>
      <c r="F227">
        <v>1</v>
      </c>
      <c r="G227" t="s">
        <v>46</v>
      </c>
      <c r="H227" t="s">
        <v>45</v>
      </c>
      <c r="I227" t="s">
        <v>47</v>
      </c>
      <c r="J227">
        <v>2.5</v>
      </c>
      <c r="K227">
        <v>0</v>
      </c>
      <c r="L227">
        <v>8</v>
      </c>
      <c r="M227" t="s">
        <v>45</v>
      </c>
      <c r="N227" t="s">
        <v>45</v>
      </c>
      <c r="O227">
        <v>2</v>
      </c>
      <c r="P227">
        <v>15</v>
      </c>
    </row>
    <row r="228" spans="1:16" x14ac:dyDescent="0.4">
      <c r="A228" t="s">
        <v>277</v>
      </c>
      <c r="B228">
        <v>17</v>
      </c>
      <c r="C228" t="s">
        <v>56</v>
      </c>
      <c r="D228" t="s">
        <v>49</v>
      </c>
      <c r="E228" t="s">
        <v>47</v>
      </c>
      <c r="F228">
        <v>0</v>
      </c>
      <c r="G228" t="s">
        <v>50</v>
      </c>
      <c r="H228" t="s">
        <v>47</v>
      </c>
      <c r="I228" t="s">
        <v>47</v>
      </c>
      <c r="J228">
        <v>8.5</v>
      </c>
      <c r="K228">
        <v>0</v>
      </c>
      <c r="L228">
        <v>5</v>
      </c>
      <c r="M228" t="s">
        <v>47</v>
      </c>
      <c r="N228" t="s">
        <v>47</v>
      </c>
      <c r="O228">
        <v>2</v>
      </c>
      <c r="P228">
        <v>8</v>
      </c>
    </row>
    <row r="229" spans="1:16" x14ac:dyDescent="0.4">
      <c r="A229" t="s">
        <v>278</v>
      </c>
      <c r="B229">
        <v>17</v>
      </c>
      <c r="C229" t="s">
        <v>43</v>
      </c>
      <c r="D229" t="s">
        <v>44</v>
      </c>
      <c r="E229" t="s">
        <v>45</v>
      </c>
      <c r="F229">
        <v>0</v>
      </c>
      <c r="G229" t="s">
        <v>50</v>
      </c>
      <c r="H229" t="s">
        <v>47</v>
      </c>
      <c r="I229" t="s">
        <v>47</v>
      </c>
      <c r="J229">
        <v>3.25</v>
      </c>
      <c r="K229">
        <v>0</v>
      </c>
      <c r="L229">
        <v>4</v>
      </c>
      <c r="M229" t="s">
        <v>45</v>
      </c>
      <c r="N229" t="s">
        <v>47</v>
      </c>
      <c r="O229">
        <v>3</v>
      </c>
      <c r="P229">
        <v>9</v>
      </c>
    </row>
    <row r="230" spans="1:16" x14ac:dyDescent="0.4">
      <c r="A230" t="s">
        <v>279</v>
      </c>
      <c r="B230">
        <v>17</v>
      </c>
      <c r="C230" t="s">
        <v>56</v>
      </c>
      <c r="D230" t="s">
        <v>49</v>
      </c>
      <c r="E230" t="s">
        <v>45</v>
      </c>
      <c r="F230">
        <v>0</v>
      </c>
      <c r="G230" t="s">
        <v>50</v>
      </c>
      <c r="H230" t="s">
        <v>47</v>
      </c>
      <c r="I230" t="s">
        <v>47</v>
      </c>
      <c r="J230">
        <v>2.25</v>
      </c>
      <c r="K230">
        <v>0</v>
      </c>
      <c r="L230">
        <v>0</v>
      </c>
      <c r="M230" t="s">
        <v>45</v>
      </c>
      <c r="N230" t="s">
        <v>47</v>
      </c>
      <c r="O230">
        <v>1</v>
      </c>
      <c r="P230">
        <v>13</v>
      </c>
    </row>
    <row r="231" spans="1:16" x14ac:dyDescent="0.4">
      <c r="A231" t="s">
        <v>280</v>
      </c>
      <c r="B231">
        <v>17</v>
      </c>
      <c r="C231" t="s">
        <v>56</v>
      </c>
      <c r="D231" t="s">
        <v>44</v>
      </c>
      <c r="E231" t="s">
        <v>45</v>
      </c>
      <c r="F231">
        <v>1</v>
      </c>
      <c r="G231" t="s">
        <v>46</v>
      </c>
      <c r="H231" t="s">
        <v>47</v>
      </c>
      <c r="I231" t="s">
        <v>47</v>
      </c>
      <c r="J231">
        <v>3.5</v>
      </c>
      <c r="K231">
        <v>0</v>
      </c>
      <c r="L231">
        <v>14</v>
      </c>
      <c r="M231" t="s">
        <v>45</v>
      </c>
      <c r="N231" t="s">
        <v>45</v>
      </c>
      <c r="O231">
        <v>1</v>
      </c>
      <c r="P231">
        <v>17</v>
      </c>
    </row>
    <row r="232" spans="1:16" x14ac:dyDescent="0.4">
      <c r="A232" t="s">
        <v>281</v>
      </c>
      <c r="B232">
        <v>16</v>
      </c>
      <c r="C232" t="s">
        <v>56</v>
      </c>
      <c r="D232" t="s">
        <v>44</v>
      </c>
      <c r="E232" t="s">
        <v>45</v>
      </c>
      <c r="F232">
        <v>0</v>
      </c>
      <c r="G232" t="s">
        <v>50</v>
      </c>
      <c r="H232" t="s">
        <v>45</v>
      </c>
      <c r="I232" t="s">
        <v>47</v>
      </c>
      <c r="J232">
        <v>0</v>
      </c>
      <c r="K232">
        <v>0</v>
      </c>
      <c r="L232">
        <v>0</v>
      </c>
      <c r="M232" t="s">
        <v>47</v>
      </c>
      <c r="N232" t="s">
        <v>45</v>
      </c>
      <c r="O232">
        <v>1</v>
      </c>
      <c r="P232">
        <v>13</v>
      </c>
    </row>
    <row r="233" spans="1:16" x14ac:dyDescent="0.4">
      <c r="A233" t="s">
        <v>282</v>
      </c>
      <c r="B233">
        <v>16</v>
      </c>
      <c r="C233" t="s">
        <v>56</v>
      </c>
      <c r="D233" t="s">
        <v>44</v>
      </c>
      <c r="E233" t="s">
        <v>47</v>
      </c>
      <c r="F233">
        <v>0</v>
      </c>
      <c r="G233" t="s">
        <v>46</v>
      </c>
      <c r="H233" t="s">
        <v>47</v>
      </c>
      <c r="I233" t="s">
        <v>47</v>
      </c>
      <c r="J233">
        <v>2.5</v>
      </c>
      <c r="K233">
        <v>0</v>
      </c>
      <c r="L233">
        <v>6</v>
      </c>
      <c r="M233" t="s">
        <v>45</v>
      </c>
      <c r="N233" t="s">
        <v>47</v>
      </c>
      <c r="O233">
        <v>1</v>
      </c>
      <c r="P233">
        <v>11</v>
      </c>
    </row>
    <row r="234" spans="1:16" x14ac:dyDescent="0.4">
      <c r="A234" t="s">
        <v>283</v>
      </c>
      <c r="B234">
        <v>17</v>
      </c>
      <c r="C234" t="s">
        <v>56</v>
      </c>
      <c r="D234" t="s">
        <v>44</v>
      </c>
      <c r="E234" t="s">
        <v>45</v>
      </c>
      <c r="F234">
        <v>2</v>
      </c>
      <c r="G234" t="s">
        <v>46</v>
      </c>
      <c r="H234" t="s">
        <v>47</v>
      </c>
      <c r="I234" t="s">
        <v>47</v>
      </c>
      <c r="J234">
        <v>3</v>
      </c>
      <c r="K234">
        <v>0</v>
      </c>
      <c r="L234">
        <v>2</v>
      </c>
      <c r="M234" t="s">
        <v>45</v>
      </c>
      <c r="N234" t="s">
        <v>45</v>
      </c>
      <c r="O234">
        <v>2</v>
      </c>
      <c r="P234">
        <v>12</v>
      </c>
    </row>
    <row r="235" spans="1:16" x14ac:dyDescent="0.4">
      <c r="A235" t="s">
        <v>284</v>
      </c>
      <c r="B235">
        <v>16</v>
      </c>
      <c r="C235" t="s">
        <v>56</v>
      </c>
      <c r="D235" t="s">
        <v>44</v>
      </c>
      <c r="E235" t="s">
        <v>45</v>
      </c>
      <c r="F235">
        <v>2</v>
      </c>
      <c r="G235" t="s">
        <v>46</v>
      </c>
      <c r="H235" t="s">
        <v>47</v>
      </c>
      <c r="I235" t="s">
        <v>47</v>
      </c>
      <c r="J235">
        <v>1.5</v>
      </c>
      <c r="K235">
        <v>0</v>
      </c>
      <c r="L235">
        <v>6</v>
      </c>
      <c r="M235" t="s">
        <v>45</v>
      </c>
      <c r="N235" t="s">
        <v>47</v>
      </c>
      <c r="O235">
        <v>1</v>
      </c>
      <c r="P235">
        <v>17</v>
      </c>
    </row>
    <row r="236" spans="1:16" x14ac:dyDescent="0.4">
      <c r="A236" t="s">
        <v>285</v>
      </c>
      <c r="B236">
        <v>18</v>
      </c>
      <c r="C236" t="s">
        <v>56</v>
      </c>
      <c r="D236" t="s">
        <v>44</v>
      </c>
      <c r="E236" t="s">
        <v>45</v>
      </c>
      <c r="F236">
        <v>0</v>
      </c>
      <c r="G236" t="s">
        <v>50</v>
      </c>
      <c r="H236" t="s">
        <v>45</v>
      </c>
      <c r="I236" t="s">
        <v>47</v>
      </c>
      <c r="J236">
        <v>3.5</v>
      </c>
      <c r="K236">
        <v>0</v>
      </c>
      <c r="L236">
        <v>6</v>
      </c>
      <c r="M236" t="s">
        <v>45</v>
      </c>
      <c r="N236" t="s">
        <v>47</v>
      </c>
      <c r="O236">
        <v>1</v>
      </c>
      <c r="P236">
        <v>9</v>
      </c>
    </row>
    <row r="237" spans="1:16" x14ac:dyDescent="0.4">
      <c r="A237" t="s">
        <v>286</v>
      </c>
      <c r="B237">
        <v>17</v>
      </c>
      <c r="C237" t="s">
        <v>43</v>
      </c>
      <c r="D237" t="s">
        <v>44</v>
      </c>
      <c r="E237" t="s">
        <v>45</v>
      </c>
      <c r="F237">
        <v>0</v>
      </c>
      <c r="G237" t="s">
        <v>46</v>
      </c>
      <c r="H237" t="s">
        <v>47</v>
      </c>
      <c r="I237" t="s">
        <v>47</v>
      </c>
      <c r="J237">
        <v>1.5</v>
      </c>
      <c r="K237">
        <v>0</v>
      </c>
      <c r="L237">
        <v>0</v>
      </c>
      <c r="M237" t="s">
        <v>45</v>
      </c>
      <c r="N237" t="s">
        <v>47</v>
      </c>
      <c r="O237">
        <v>2</v>
      </c>
      <c r="P237">
        <v>15</v>
      </c>
    </row>
    <row r="238" spans="1:16" x14ac:dyDescent="0.4">
      <c r="A238" t="s">
        <v>287</v>
      </c>
      <c r="B238">
        <v>18</v>
      </c>
      <c r="C238" t="s">
        <v>56</v>
      </c>
      <c r="D238" t="s">
        <v>44</v>
      </c>
      <c r="E238" t="s">
        <v>45</v>
      </c>
      <c r="F238">
        <v>0</v>
      </c>
      <c r="G238" t="s">
        <v>46</v>
      </c>
      <c r="H238" t="s">
        <v>45</v>
      </c>
      <c r="I238" t="s">
        <v>47</v>
      </c>
      <c r="J238">
        <v>3.5</v>
      </c>
      <c r="K238">
        <v>3</v>
      </c>
      <c r="L238">
        <v>10</v>
      </c>
      <c r="M238" t="s">
        <v>47</v>
      </c>
      <c r="N238" t="s">
        <v>45</v>
      </c>
      <c r="O238">
        <v>2</v>
      </c>
      <c r="P238">
        <v>8</v>
      </c>
    </row>
    <row r="239" spans="1:16" x14ac:dyDescent="0.4">
      <c r="A239" t="s">
        <v>288</v>
      </c>
      <c r="B239">
        <v>17</v>
      </c>
      <c r="C239" t="s">
        <v>43</v>
      </c>
      <c r="D239" t="s">
        <v>44</v>
      </c>
      <c r="E239" t="s">
        <v>47</v>
      </c>
      <c r="F239">
        <v>0</v>
      </c>
      <c r="G239" t="s">
        <v>46</v>
      </c>
      <c r="H239" t="s">
        <v>45</v>
      </c>
      <c r="I239" t="s">
        <v>47</v>
      </c>
      <c r="J239">
        <v>0</v>
      </c>
      <c r="K239">
        <v>1</v>
      </c>
      <c r="L239">
        <v>0</v>
      </c>
      <c r="M239" t="s">
        <v>45</v>
      </c>
      <c r="N239" t="s">
        <v>47</v>
      </c>
      <c r="O239">
        <v>1</v>
      </c>
      <c r="P239">
        <v>10</v>
      </c>
    </row>
    <row r="240" spans="1:16" x14ac:dyDescent="0.4">
      <c r="A240" t="s">
        <v>289</v>
      </c>
      <c r="B240">
        <v>15</v>
      </c>
      <c r="C240" t="s">
        <v>56</v>
      </c>
      <c r="D240" t="s">
        <v>44</v>
      </c>
      <c r="E240" t="s">
        <v>45</v>
      </c>
      <c r="F240">
        <v>1</v>
      </c>
      <c r="G240" t="s">
        <v>46</v>
      </c>
      <c r="H240" t="s">
        <v>45</v>
      </c>
      <c r="I240" t="s">
        <v>47</v>
      </c>
      <c r="J240">
        <v>6.75</v>
      </c>
      <c r="K240">
        <v>0</v>
      </c>
      <c r="L240">
        <v>4</v>
      </c>
      <c r="M240" t="s">
        <v>45</v>
      </c>
      <c r="N240" t="s">
        <v>47</v>
      </c>
      <c r="O240">
        <v>2</v>
      </c>
      <c r="P240">
        <v>15</v>
      </c>
    </row>
    <row r="241" spans="1:16" x14ac:dyDescent="0.4">
      <c r="A241" t="s">
        <v>290</v>
      </c>
      <c r="B241">
        <v>20</v>
      </c>
      <c r="C241" t="s">
        <v>56</v>
      </c>
      <c r="D241" t="s">
        <v>44</v>
      </c>
      <c r="E241" t="s">
        <v>45</v>
      </c>
      <c r="F241">
        <v>0</v>
      </c>
      <c r="G241" t="s">
        <v>46</v>
      </c>
      <c r="H241" t="s">
        <v>47</v>
      </c>
      <c r="I241" t="s">
        <v>45</v>
      </c>
      <c r="J241">
        <v>0.25</v>
      </c>
      <c r="K241">
        <v>1</v>
      </c>
      <c r="L241">
        <v>5</v>
      </c>
      <c r="M241" t="s">
        <v>45</v>
      </c>
      <c r="N241" t="s">
        <v>45</v>
      </c>
      <c r="O241">
        <v>1</v>
      </c>
      <c r="P241">
        <v>10</v>
      </c>
    </row>
    <row r="242" spans="1:16" x14ac:dyDescent="0.4">
      <c r="A242" t="s">
        <v>291</v>
      </c>
      <c r="B242">
        <v>15</v>
      </c>
      <c r="C242" t="s">
        <v>56</v>
      </c>
      <c r="D242" t="s">
        <v>49</v>
      </c>
      <c r="E242" t="s">
        <v>45</v>
      </c>
      <c r="F242">
        <v>0</v>
      </c>
      <c r="G242" t="s">
        <v>50</v>
      </c>
      <c r="H242" t="s">
        <v>45</v>
      </c>
      <c r="I242" t="s">
        <v>47</v>
      </c>
      <c r="J242">
        <v>4.75</v>
      </c>
      <c r="K242">
        <v>0</v>
      </c>
      <c r="L242">
        <v>1</v>
      </c>
      <c r="M242" t="s">
        <v>45</v>
      </c>
      <c r="N242" t="s">
        <v>47</v>
      </c>
      <c r="O242">
        <v>1</v>
      </c>
      <c r="P242">
        <v>11</v>
      </c>
    </row>
    <row r="243" spans="1:16" x14ac:dyDescent="0.4">
      <c r="A243" t="s">
        <v>292</v>
      </c>
      <c r="B243">
        <v>17</v>
      </c>
      <c r="C243" t="s">
        <v>56</v>
      </c>
      <c r="D243" t="s">
        <v>44</v>
      </c>
      <c r="E243" t="s">
        <v>47</v>
      </c>
      <c r="F243">
        <v>1</v>
      </c>
      <c r="G243" t="s">
        <v>46</v>
      </c>
      <c r="H243" t="s">
        <v>45</v>
      </c>
      <c r="I243" t="s">
        <v>47</v>
      </c>
      <c r="J243">
        <v>13.25</v>
      </c>
      <c r="K243">
        <v>0</v>
      </c>
      <c r="L243">
        <v>2</v>
      </c>
      <c r="M243" t="s">
        <v>45</v>
      </c>
      <c r="N243" t="s">
        <v>47</v>
      </c>
      <c r="O243">
        <v>1</v>
      </c>
      <c r="P243">
        <v>17</v>
      </c>
    </row>
    <row r="244" spans="1:16" x14ac:dyDescent="0.4">
      <c r="A244" t="s">
        <v>293</v>
      </c>
      <c r="B244">
        <v>16</v>
      </c>
      <c r="C244" t="s">
        <v>56</v>
      </c>
      <c r="D244" t="s">
        <v>49</v>
      </c>
      <c r="E244" t="s">
        <v>45</v>
      </c>
      <c r="F244">
        <v>0</v>
      </c>
      <c r="G244" t="s">
        <v>50</v>
      </c>
      <c r="H244" t="s">
        <v>47</v>
      </c>
      <c r="I244" t="s">
        <v>47</v>
      </c>
      <c r="J244">
        <v>3.25</v>
      </c>
      <c r="K244">
        <v>0</v>
      </c>
      <c r="L244">
        <v>2</v>
      </c>
      <c r="M244" t="s">
        <v>45</v>
      </c>
      <c r="N244" t="s">
        <v>45</v>
      </c>
      <c r="O244">
        <v>1</v>
      </c>
      <c r="P244">
        <v>10</v>
      </c>
    </row>
    <row r="245" spans="1:16" x14ac:dyDescent="0.4">
      <c r="A245" t="s">
        <v>294</v>
      </c>
      <c r="B245">
        <v>18</v>
      </c>
      <c r="C245" t="s">
        <v>43</v>
      </c>
      <c r="D245" t="s">
        <v>44</v>
      </c>
      <c r="E245" t="s">
        <v>47</v>
      </c>
      <c r="F245">
        <v>0</v>
      </c>
      <c r="G245" t="s">
        <v>46</v>
      </c>
      <c r="H245" t="s">
        <v>45</v>
      </c>
      <c r="I245" t="s">
        <v>47</v>
      </c>
      <c r="J245">
        <v>13.25</v>
      </c>
      <c r="K245">
        <v>0</v>
      </c>
      <c r="L245">
        <v>0</v>
      </c>
      <c r="M245" t="s">
        <v>45</v>
      </c>
      <c r="N245" t="s">
        <v>47</v>
      </c>
      <c r="O245">
        <v>3</v>
      </c>
      <c r="P245">
        <v>12</v>
      </c>
    </row>
    <row r="246" spans="1:16" x14ac:dyDescent="0.4">
      <c r="A246" t="s">
        <v>295</v>
      </c>
      <c r="B246">
        <v>16</v>
      </c>
      <c r="C246" t="s">
        <v>43</v>
      </c>
      <c r="D246" t="s">
        <v>49</v>
      </c>
      <c r="E246" t="s">
        <v>47</v>
      </c>
      <c r="F246">
        <v>0</v>
      </c>
      <c r="G246" t="s">
        <v>46</v>
      </c>
      <c r="H246" t="s">
        <v>45</v>
      </c>
      <c r="I246" t="s">
        <v>47</v>
      </c>
      <c r="J246">
        <v>0.5</v>
      </c>
      <c r="K246">
        <v>0</v>
      </c>
      <c r="L246">
        <v>16</v>
      </c>
      <c r="M246" t="s">
        <v>45</v>
      </c>
      <c r="N246" t="s">
        <v>47</v>
      </c>
      <c r="O246">
        <v>4</v>
      </c>
      <c r="P246">
        <v>12</v>
      </c>
    </row>
    <row r="247" spans="1:16" x14ac:dyDescent="0.4">
      <c r="A247" t="s">
        <v>296</v>
      </c>
      <c r="B247">
        <v>18</v>
      </c>
      <c r="C247" t="s">
        <v>56</v>
      </c>
      <c r="D247" t="s">
        <v>49</v>
      </c>
      <c r="E247" t="s">
        <v>47</v>
      </c>
      <c r="F247">
        <v>2</v>
      </c>
      <c r="G247" t="s">
        <v>50</v>
      </c>
      <c r="H247" t="s">
        <v>45</v>
      </c>
      <c r="I247" t="s">
        <v>47</v>
      </c>
      <c r="J247">
        <v>4.75</v>
      </c>
      <c r="K247">
        <v>0</v>
      </c>
      <c r="L247">
        <v>1</v>
      </c>
      <c r="M247" t="s">
        <v>45</v>
      </c>
      <c r="N247" t="s">
        <v>47</v>
      </c>
      <c r="O247">
        <v>3</v>
      </c>
      <c r="P247">
        <v>14</v>
      </c>
    </row>
    <row r="248" spans="1:16" x14ac:dyDescent="0.4">
      <c r="A248" t="s">
        <v>297</v>
      </c>
      <c r="B248">
        <v>19</v>
      </c>
      <c r="C248" t="s">
        <v>43</v>
      </c>
      <c r="D248" t="s">
        <v>44</v>
      </c>
      <c r="E248" t="s">
        <v>45</v>
      </c>
      <c r="F248">
        <v>0</v>
      </c>
      <c r="G248" t="s">
        <v>46</v>
      </c>
      <c r="H248" t="s">
        <v>47</v>
      </c>
      <c r="I248" t="s">
        <v>47</v>
      </c>
      <c r="J248">
        <v>0.25</v>
      </c>
      <c r="K248">
        <v>0</v>
      </c>
      <c r="L248">
        <v>10</v>
      </c>
      <c r="M248" t="s">
        <v>45</v>
      </c>
      <c r="N248" t="s">
        <v>47</v>
      </c>
      <c r="O248">
        <v>2</v>
      </c>
      <c r="P248">
        <v>11</v>
      </c>
    </row>
    <row r="249" spans="1:16" x14ac:dyDescent="0.4">
      <c r="A249" t="s">
        <v>298</v>
      </c>
      <c r="B249">
        <v>16</v>
      </c>
      <c r="C249" t="s">
        <v>56</v>
      </c>
      <c r="D249" t="s">
        <v>49</v>
      </c>
      <c r="E249" t="s">
        <v>47</v>
      </c>
      <c r="F249">
        <v>0</v>
      </c>
      <c r="G249" t="s">
        <v>50</v>
      </c>
      <c r="H249" t="s">
        <v>45</v>
      </c>
      <c r="I249" t="s">
        <v>47</v>
      </c>
      <c r="J249">
        <v>0</v>
      </c>
      <c r="K249">
        <v>0</v>
      </c>
      <c r="L249">
        <v>0</v>
      </c>
      <c r="M249" t="s">
        <v>45</v>
      </c>
      <c r="N249" t="s">
        <v>47</v>
      </c>
      <c r="O249">
        <v>2</v>
      </c>
      <c r="P249">
        <v>15</v>
      </c>
    </row>
    <row r="250" spans="1:16" x14ac:dyDescent="0.4">
      <c r="A250" t="s">
        <v>299</v>
      </c>
      <c r="B250">
        <v>16</v>
      </c>
      <c r="C250" t="s">
        <v>56</v>
      </c>
      <c r="D250" t="s">
        <v>44</v>
      </c>
      <c r="E250" t="s">
        <v>45</v>
      </c>
      <c r="F250">
        <v>1</v>
      </c>
      <c r="G250" t="s">
        <v>46</v>
      </c>
      <c r="H250" t="s">
        <v>45</v>
      </c>
      <c r="I250" t="s">
        <v>47</v>
      </c>
      <c r="J250">
        <v>4.5</v>
      </c>
      <c r="K250">
        <v>0</v>
      </c>
      <c r="L250">
        <v>2</v>
      </c>
      <c r="M250" t="s">
        <v>45</v>
      </c>
      <c r="N250" t="s">
        <v>47</v>
      </c>
      <c r="O250">
        <v>2</v>
      </c>
      <c r="P250">
        <v>15</v>
      </c>
    </row>
    <row r="251" spans="1:16" x14ac:dyDescent="0.4">
      <c r="A251" t="s">
        <v>300</v>
      </c>
      <c r="B251">
        <v>18</v>
      </c>
      <c r="C251" t="s">
        <v>56</v>
      </c>
      <c r="D251" t="s">
        <v>44</v>
      </c>
      <c r="E251" t="s">
        <v>45</v>
      </c>
      <c r="F251">
        <v>0</v>
      </c>
      <c r="G251" t="s">
        <v>50</v>
      </c>
      <c r="H251" t="s">
        <v>45</v>
      </c>
      <c r="I251" t="s">
        <v>47</v>
      </c>
      <c r="J251">
        <v>3.75</v>
      </c>
      <c r="K251">
        <v>1</v>
      </c>
      <c r="L251">
        <v>9</v>
      </c>
      <c r="M251" t="s">
        <v>45</v>
      </c>
      <c r="N251" t="s">
        <v>45</v>
      </c>
      <c r="O251">
        <v>2</v>
      </c>
      <c r="P251">
        <v>8</v>
      </c>
    </row>
    <row r="252" spans="1:16" x14ac:dyDescent="0.4">
      <c r="A252" t="s">
        <v>301</v>
      </c>
      <c r="B252">
        <v>15</v>
      </c>
      <c r="C252" t="s">
        <v>43</v>
      </c>
      <c r="D252" t="s">
        <v>44</v>
      </c>
      <c r="E252" t="s">
        <v>45</v>
      </c>
      <c r="F252">
        <v>1</v>
      </c>
      <c r="G252" t="s">
        <v>46</v>
      </c>
      <c r="H252" t="s">
        <v>47</v>
      </c>
      <c r="I252" t="s">
        <v>45</v>
      </c>
      <c r="J252">
        <v>13.75</v>
      </c>
      <c r="K252">
        <v>0</v>
      </c>
      <c r="L252">
        <v>6</v>
      </c>
      <c r="M252" t="s">
        <v>45</v>
      </c>
      <c r="N252" t="s">
        <v>47</v>
      </c>
      <c r="O252">
        <v>1</v>
      </c>
      <c r="P252">
        <v>11</v>
      </c>
    </row>
    <row r="253" spans="1:16" x14ac:dyDescent="0.4">
      <c r="A253" t="s">
        <v>302</v>
      </c>
      <c r="B253">
        <v>17</v>
      </c>
      <c r="C253" t="s">
        <v>43</v>
      </c>
      <c r="D253" t="s">
        <v>44</v>
      </c>
      <c r="E253" t="s">
        <v>45</v>
      </c>
      <c r="F253">
        <v>0</v>
      </c>
      <c r="G253" t="s">
        <v>50</v>
      </c>
      <c r="H253" t="s">
        <v>45</v>
      </c>
      <c r="I253" t="s">
        <v>47</v>
      </c>
      <c r="J253">
        <v>0.25</v>
      </c>
      <c r="K253">
        <v>1</v>
      </c>
      <c r="L253">
        <v>12</v>
      </c>
      <c r="M253" t="s">
        <v>47</v>
      </c>
      <c r="N253" t="s">
        <v>45</v>
      </c>
      <c r="O253">
        <v>5</v>
      </c>
      <c r="P253">
        <v>7</v>
      </c>
    </row>
    <row r="254" spans="1:16" x14ac:dyDescent="0.4">
      <c r="A254" t="s">
        <v>303</v>
      </c>
      <c r="B254">
        <v>15</v>
      </c>
      <c r="C254" t="s">
        <v>43</v>
      </c>
      <c r="D254" t="s">
        <v>44</v>
      </c>
      <c r="E254" t="s">
        <v>47</v>
      </c>
      <c r="F254">
        <v>0</v>
      </c>
      <c r="G254" t="s">
        <v>50</v>
      </c>
      <c r="H254" t="s">
        <v>45</v>
      </c>
      <c r="I254" t="s">
        <v>47</v>
      </c>
      <c r="J254">
        <v>13</v>
      </c>
      <c r="K254">
        <v>0</v>
      </c>
      <c r="L254">
        <v>8</v>
      </c>
      <c r="M254" t="s">
        <v>45</v>
      </c>
      <c r="N254" t="s">
        <v>47</v>
      </c>
      <c r="O254">
        <v>2</v>
      </c>
      <c r="P254">
        <v>14</v>
      </c>
    </row>
    <row r="255" spans="1:16" x14ac:dyDescent="0.4">
      <c r="A255" t="s">
        <v>304</v>
      </c>
      <c r="B255">
        <v>16</v>
      </c>
      <c r="C255" t="s">
        <v>56</v>
      </c>
      <c r="D255" t="s">
        <v>49</v>
      </c>
      <c r="E255" t="s">
        <v>45</v>
      </c>
      <c r="F255">
        <v>0</v>
      </c>
      <c r="G255" t="s">
        <v>50</v>
      </c>
      <c r="H255" t="s">
        <v>45</v>
      </c>
      <c r="I255" t="s">
        <v>47</v>
      </c>
      <c r="J255">
        <v>3</v>
      </c>
      <c r="K255">
        <v>0</v>
      </c>
      <c r="L255">
        <v>0</v>
      </c>
      <c r="M255" t="s">
        <v>45</v>
      </c>
      <c r="N255" t="s">
        <v>47</v>
      </c>
      <c r="O255">
        <v>1</v>
      </c>
      <c r="P255">
        <v>12</v>
      </c>
    </row>
    <row r="256" spans="1:16" x14ac:dyDescent="0.4">
      <c r="A256" t="s">
        <v>305</v>
      </c>
      <c r="B256">
        <v>18</v>
      </c>
      <c r="C256" t="s">
        <v>56</v>
      </c>
      <c r="D256" t="s">
        <v>44</v>
      </c>
      <c r="E256" t="s">
        <v>45</v>
      </c>
      <c r="F256">
        <v>0</v>
      </c>
      <c r="G256" t="s">
        <v>46</v>
      </c>
      <c r="H256" t="s">
        <v>47</v>
      </c>
      <c r="I256" t="s">
        <v>47</v>
      </c>
      <c r="J256">
        <v>0.75</v>
      </c>
      <c r="K256">
        <v>1</v>
      </c>
      <c r="L256">
        <v>14</v>
      </c>
      <c r="M256" t="s">
        <v>47</v>
      </c>
      <c r="N256" t="s">
        <v>47</v>
      </c>
      <c r="O256">
        <v>1</v>
      </c>
      <c r="P256">
        <v>7</v>
      </c>
    </row>
    <row r="257" spans="1:16" x14ac:dyDescent="0.4">
      <c r="A257" t="s">
        <v>306</v>
      </c>
      <c r="B257">
        <v>16</v>
      </c>
      <c r="C257" t="s">
        <v>43</v>
      </c>
      <c r="D257" t="s">
        <v>44</v>
      </c>
      <c r="E257" t="s">
        <v>45</v>
      </c>
      <c r="F257">
        <v>2</v>
      </c>
      <c r="G257" t="s">
        <v>50</v>
      </c>
      <c r="H257" t="s">
        <v>45</v>
      </c>
      <c r="I257" t="s">
        <v>47</v>
      </c>
      <c r="J257">
        <v>3</v>
      </c>
      <c r="K257">
        <v>0</v>
      </c>
      <c r="L257">
        <v>0</v>
      </c>
      <c r="M257" t="s">
        <v>45</v>
      </c>
      <c r="N257" t="s">
        <v>45</v>
      </c>
      <c r="O257">
        <v>1</v>
      </c>
      <c r="P257">
        <v>13</v>
      </c>
    </row>
    <row r="258" spans="1:16" x14ac:dyDescent="0.4">
      <c r="A258" t="s">
        <v>307</v>
      </c>
      <c r="B258">
        <v>15</v>
      </c>
      <c r="C258" t="s">
        <v>56</v>
      </c>
      <c r="D258" t="s">
        <v>44</v>
      </c>
      <c r="E258" t="s">
        <v>47</v>
      </c>
      <c r="F258">
        <v>1</v>
      </c>
      <c r="G258" t="s">
        <v>46</v>
      </c>
      <c r="H258" t="s">
        <v>47</v>
      </c>
      <c r="I258" t="s">
        <v>47</v>
      </c>
      <c r="J258">
        <v>3.75</v>
      </c>
      <c r="K258">
        <v>0</v>
      </c>
      <c r="L258">
        <v>0</v>
      </c>
      <c r="M258" t="s">
        <v>45</v>
      </c>
      <c r="N258" t="s">
        <v>47</v>
      </c>
      <c r="O258">
        <v>1</v>
      </c>
      <c r="P258">
        <v>16</v>
      </c>
    </row>
    <row r="259" spans="1:16" x14ac:dyDescent="0.4">
      <c r="A259" t="s">
        <v>308</v>
      </c>
      <c r="B259">
        <v>17</v>
      </c>
      <c r="C259" t="s">
        <v>43</v>
      </c>
      <c r="D259" t="s">
        <v>49</v>
      </c>
      <c r="E259" t="s">
        <v>45</v>
      </c>
      <c r="F259">
        <v>0</v>
      </c>
      <c r="G259" t="s">
        <v>46</v>
      </c>
      <c r="H259" t="s">
        <v>47</v>
      </c>
      <c r="I259" t="s">
        <v>45</v>
      </c>
      <c r="J259">
        <v>3.75</v>
      </c>
      <c r="K259">
        <v>2</v>
      </c>
      <c r="L259">
        <v>4</v>
      </c>
      <c r="M259" t="s">
        <v>45</v>
      </c>
      <c r="N259" t="s">
        <v>45</v>
      </c>
      <c r="O259">
        <v>2</v>
      </c>
      <c r="P259">
        <v>8</v>
      </c>
    </row>
    <row r="260" spans="1:16" x14ac:dyDescent="0.4">
      <c r="A260" t="s">
        <v>309</v>
      </c>
      <c r="B260">
        <v>15</v>
      </c>
      <c r="C260" t="s">
        <v>43</v>
      </c>
      <c r="D260" t="s">
        <v>44</v>
      </c>
      <c r="E260" t="s">
        <v>45</v>
      </c>
      <c r="F260">
        <v>0</v>
      </c>
      <c r="G260" t="s">
        <v>46</v>
      </c>
      <c r="H260" t="s">
        <v>47</v>
      </c>
      <c r="I260" t="s">
        <v>47</v>
      </c>
      <c r="J260">
        <v>8.75</v>
      </c>
      <c r="K260">
        <v>0</v>
      </c>
      <c r="L260">
        <v>0</v>
      </c>
      <c r="M260" t="s">
        <v>45</v>
      </c>
      <c r="N260" t="s">
        <v>45</v>
      </c>
      <c r="O260">
        <v>1</v>
      </c>
      <c r="P260">
        <v>15</v>
      </c>
    </row>
    <row r="261" spans="1:16" x14ac:dyDescent="0.4">
      <c r="A261" t="s">
        <v>310</v>
      </c>
      <c r="B261">
        <v>15</v>
      </c>
      <c r="C261" t="s">
        <v>43</v>
      </c>
      <c r="D261" t="s">
        <v>44</v>
      </c>
      <c r="E261" t="s">
        <v>47</v>
      </c>
      <c r="F261">
        <v>0</v>
      </c>
      <c r="G261" t="s">
        <v>46</v>
      </c>
      <c r="H261" t="s">
        <v>45</v>
      </c>
      <c r="I261" t="s">
        <v>47</v>
      </c>
      <c r="J261">
        <v>4</v>
      </c>
      <c r="K261">
        <v>0</v>
      </c>
      <c r="L261">
        <v>2</v>
      </c>
      <c r="M261" t="s">
        <v>45</v>
      </c>
      <c r="N261" t="s">
        <v>47</v>
      </c>
      <c r="O261">
        <v>2</v>
      </c>
      <c r="P261">
        <v>13</v>
      </c>
    </row>
    <row r="262" spans="1:16" x14ac:dyDescent="0.4">
      <c r="A262" t="s">
        <v>311</v>
      </c>
      <c r="B262">
        <v>18</v>
      </c>
      <c r="C262" t="s">
        <v>56</v>
      </c>
      <c r="D262" t="s">
        <v>44</v>
      </c>
      <c r="E262" t="s">
        <v>45</v>
      </c>
      <c r="F262">
        <v>1</v>
      </c>
      <c r="G262" t="s">
        <v>46</v>
      </c>
      <c r="H262" t="s">
        <v>45</v>
      </c>
      <c r="I262" t="s">
        <v>47</v>
      </c>
      <c r="J262">
        <v>1.25</v>
      </c>
      <c r="K262">
        <v>0</v>
      </c>
      <c r="L262">
        <v>4</v>
      </c>
      <c r="M262" t="s">
        <v>45</v>
      </c>
      <c r="N262" t="s">
        <v>45</v>
      </c>
      <c r="O262">
        <v>1</v>
      </c>
      <c r="P262">
        <v>14</v>
      </c>
    </row>
    <row r="263" spans="1:16" x14ac:dyDescent="0.4">
      <c r="A263" t="s">
        <v>312</v>
      </c>
      <c r="B263">
        <v>17</v>
      </c>
      <c r="C263" t="s">
        <v>56</v>
      </c>
      <c r="D263" t="s">
        <v>44</v>
      </c>
      <c r="E263" t="s">
        <v>47</v>
      </c>
      <c r="F263">
        <v>0</v>
      </c>
      <c r="G263" t="s">
        <v>46</v>
      </c>
      <c r="H263" t="s">
        <v>47</v>
      </c>
      <c r="I263" t="s">
        <v>47</v>
      </c>
      <c r="J263">
        <v>4.5</v>
      </c>
      <c r="K263">
        <v>0</v>
      </c>
      <c r="L263">
        <v>2</v>
      </c>
      <c r="M263" t="s">
        <v>45</v>
      </c>
      <c r="N263" t="s">
        <v>47</v>
      </c>
      <c r="O263">
        <v>2</v>
      </c>
      <c r="P263">
        <v>15</v>
      </c>
    </row>
    <row r="264" spans="1:16" x14ac:dyDescent="0.4">
      <c r="A264" t="s">
        <v>313</v>
      </c>
      <c r="B264">
        <v>16</v>
      </c>
      <c r="C264" t="s">
        <v>43</v>
      </c>
      <c r="D264" t="s">
        <v>44</v>
      </c>
      <c r="E264" t="s">
        <v>45</v>
      </c>
      <c r="F264">
        <v>0</v>
      </c>
      <c r="G264" t="s">
        <v>46</v>
      </c>
      <c r="H264" t="s">
        <v>47</v>
      </c>
      <c r="I264" t="s">
        <v>47</v>
      </c>
      <c r="J264">
        <v>3.5</v>
      </c>
      <c r="K264">
        <v>0</v>
      </c>
      <c r="L264">
        <v>0</v>
      </c>
      <c r="M264" t="s">
        <v>47</v>
      </c>
      <c r="N264" t="s">
        <v>47</v>
      </c>
      <c r="O264">
        <v>3</v>
      </c>
      <c r="P264">
        <v>11</v>
      </c>
    </row>
    <row r="265" spans="1:16" x14ac:dyDescent="0.4">
      <c r="A265" t="s">
        <v>314</v>
      </c>
      <c r="B265">
        <v>18</v>
      </c>
      <c r="C265" t="s">
        <v>56</v>
      </c>
      <c r="D265" t="s">
        <v>44</v>
      </c>
      <c r="E265" t="s">
        <v>45</v>
      </c>
      <c r="F265">
        <v>0</v>
      </c>
      <c r="G265" t="s">
        <v>46</v>
      </c>
      <c r="H265" t="s">
        <v>45</v>
      </c>
      <c r="I265" t="s">
        <v>47</v>
      </c>
      <c r="J265">
        <v>2</v>
      </c>
      <c r="K265">
        <v>0</v>
      </c>
      <c r="L265">
        <v>4</v>
      </c>
      <c r="M265" t="s">
        <v>45</v>
      </c>
      <c r="N265" t="s">
        <v>45</v>
      </c>
      <c r="O265">
        <v>1</v>
      </c>
      <c r="P265">
        <v>13</v>
      </c>
    </row>
    <row r="266" spans="1:16" x14ac:dyDescent="0.4">
      <c r="A266" t="s">
        <v>315</v>
      </c>
      <c r="B266">
        <v>18</v>
      </c>
      <c r="C266" t="s">
        <v>56</v>
      </c>
      <c r="D266" t="s">
        <v>44</v>
      </c>
      <c r="E266" t="s">
        <v>45</v>
      </c>
      <c r="F266">
        <v>2</v>
      </c>
      <c r="G266" t="s">
        <v>46</v>
      </c>
      <c r="H266" t="s">
        <v>47</v>
      </c>
      <c r="I266" t="s">
        <v>45</v>
      </c>
      <c r="J266">
        <v>4.75</v>
      </c>
      <c r="K266">
        <v>0</v>
      </c>
      <c r="L266">
        <v>4</v>
      </c>
      <c r="M266" t="s">
        <v>45</v>
      </c>
      <c r="N266" t="s">
        <v>47</v>
      </c>
      <c r="O266">
        <v>1</v>
      </c>
      <c r="P266">
        <v>11</v>
      </c>
    </row>
    <row r="267" spans="1:16" x14ac:dyDescent="0.4">
      <c r="A267" t="s">
        <v>316</v>
      </c>
      <c r="B267">
        <v>17</v>
      </c>
      <c r="C267" t="s">
        <v>43</v>
      </c>
      <c r="D267" t="s">
        <v>44</v>
      </c>
      <c r="E267" t="s">
        <v>45</v>
      </c>
      <c r="F267">
        <v>0</v>
      </c>
      <c r="G267" t="s">
        <v>46</v>
      </c>
      <c r="H267" t="s">
        <v>45</v>
      </c>
      <c r="I267" t="s">
        <v>47</v>
      </c>
      <c r="J267">
        <v>4</v>
      </c>
      <c r="K267">
        <v>0</v>
      </c>
      <c r="L267">
        <v>16</v>
      </c>
      <c r="M267" t="s">
        <v>45</v>
      </c>
      <c r="N267" t="s">
        <v>47</v>
      </c>
      <c r="O267">
        <v>4</v>
      </c>
      <c r="P267">
        <v>12</v>
      </c>
    </row>
    <row r="268" spans="1:16" x14ac:dyDescent="0.4">
      <c r="A268" t="s">
        <v>317</v>
      </c>
      <c r="B268">
        <v>15</v>
      </c>
      <c r="C268" t="s">
        <v>43</v>
      </c>
      <c r="D268" t="s">
        <v>44</v>
      </c>
      <c r="E268" t="s">
        <v>45</v>
      </c>
      <c r="F268">
        <v>1</v>
      </c>
      <c r="G268" t="s">
        <v>46</v>
      </c>
      <c r="H268" t="s">
        <v>45</v>
      </c>
      <c r="I268" t="s">
        <v>47</v>
      </c>
      <c r="J268">
        <v>3</v>
      </c>
      <c r="K268">
        <v>0</v>
      </c>
      <c r="L268">
        <v>0</v>
      </c>
      <c r="M268" t="s">
        <v>45</v>
      </c>
      <c r="N268" t="s">
        <v>47</v>
      </c>
      <c r="O268">
        <v>1</v>
      </c>
      <c r="P268">
        <v>16</v>
      </c>
    </row>
    <row r="269" spans="1:16" x14ac:dyDescent="0.4">
      <c r="A269" t="s">
        <v>318</v>
      </c>
      <c r="B269">
        <v>15</v>
      </c>
      <c r="C269" t="s">
        <v>43</v>
      </c>
      <c r="D269" t="s">
        <v>44</v>
      </c>
      <c r="E269" t="s">
        <v>45</v>
      </c>
      <c r="F269">
        <v>0</v>
      </c>
      <c r="G269" t="s">
        <v>50</v>
      </c>
      <c r="H269" t="s">
        <v>47</v>
      </c>
      <c r="I269" t="s">
        <v>47</v>
      </c>
      <c r="J269">
        <v>0.75</v>
      </c>
      <c r="K269">
        <v>0</v>
      </c>
      <c r="L269">
        <v>1</v>
      </c>
      <c r="M269" t="s">
        <v>45</v>
      </c>
      <c r="N269" t="s">
        <v>47</v>
      </c>
      <c r="O269">
        <v>1</v>
      </c>
      <c r="P269">
        <v>13</v>
      </c>
    </row>
    <row r="270" spans="1:16" x14ac:dyDescent="0.4">
      <c r="A270" t="s">
        <v>319</v>
      </c>
      <c r="B270">
        <v>17</v>
      </c>
      <c r="C270" t="s">
        <v>43</v>
      </c>
      <c r="D270" t="s">
        <v>49</v>
      </c>
      <c r="E270" t="s">
        <v>45</v>
      </c>
      <c r="F270">
        <v>0</v>
      </c>
      <c r="G270" t="s">
        <v>50</v>
      </c>
      <c r="H270" t="s">
        <v>47</v>
      </c>
      <c r="I270" t="s">
        <v>47</v>
      </c>
      <c r="J270">
        <v>0.25</v>
      </c>
      <c r="K270">
        <v>1</v>
      </c>
      <c r="L270">
        <v>0</v>
      </c>
      <c r="M270" t="s">
        <v>45</v>
      </c>
      <c r="N270" t="s">
        <v>47</v>
      </c>
      <c r="O270">
        <v>1</v>
      </c>
      <c r="P270">
        <v>9</v>
      </c>
    </row>
    <row r="271" spans="1:16" x14ac:dyDescent="0.4">
      <c r="A271" t="s">
        <v>320</v>
      </c>
      <c r="B271">
        <v>17</v>
      </c>
      <c r="C271" t="s">
        <v>43</v>
      </c>
      <c r="D271" t="s">
        <v>44</v>
      </c>
      <c r="E271" t="s">
        <v>45</v>
      </c>
      <c r="F271">
        <v>0</v>
      </c>
      <c r="G271" t="s">
        <v>46</v>
      </c>
      <c r="H271" t="s">
        <v>45</v>
      </c>
      <c r="I271" t="s">
        <v>47</v>
      </c>
      <c r="J271">
        <v>1.75</v>
      </c>
      <c r="K271">
        <v>3</v>
      </c>
      <c r="L271">
        <v>10</v>
      </c>
      <c r="M271" t="s">
        <v>47</v>
      </c>
      <c r="N271" t="s">
        <v>47</v>
      </c>
      <c r="O271">
        <v>1</v>
      </c>
      <c r="P271">
        <v>8</v>
      </c>
    </row>
    <row r="272" spans="1:16" x14ac:dyDescent="0.4">
      <c r="A272" t="s">
        <v>321</v>
      </c>
      <c r="B272">
        <v>17</v>
      </c>
      <c r="C272" t="s">
        <v>56</v>
      </c>
      <c r="D272" t="s">
        <v>44</v>
      </c>
      <c r="E272" t="s">
        <v>45</v>
      </c>
      <c r="F272">
        <v>2</v>
      </c>
      <c r="G272" t="s">
        <v>46</v>
      </c>
      <c r="H272" t="s">
        <v>47</v>
      </c>
      <c r="I272" t="s">
        <v>45</v>
      </c>
      <c r="J272">
        <v>0</v>
      </c>
      <c r="K272">
        <v>0</v>
      </c>
      <c r="L272">
        <v>0</v>
      </c>
      <c r="M272" t="s">
        <v>45</v>
      </c>
      <c r="N272" t="s">
        <v>45</v>
      </c>
      <c r="O272">
        <v>1</v>
      </c>
      <c r="P272">
        <v>13</v>
      </c>
    </row>
    <row r="273" spans="1:16" x14ac:dyDescent="0.4">
      <c r="A273" t="s">
        <v>322</v>
      </c>
      <c r="B273">
        <v>15</v>
      </c>
      <c r="C273" t="s">
        <v>43</v>
      </c>
      <c r="D273" t="s">
        <v>49</v>
      </c>
      <c r="E273" t="s">
        <v>47</v>
      </c>
      <c r="F273">
        <v>0</v>
      </c>
      <c r="G273" t="s">
        <v>50</v>
      </c>
      <c r="H273" t="s">
        <v>45</v>
      </c>
      <c r="I273" t="s">
        <v>47</v>
      </c>
      <c r="J273">
        <v>0.5</v>
      </c>
      <c r="K273">
        <v>0</v>
      </c>
      <c r="L273">
        <v>2</v>
      </c>
      <c r="M273" t="s">
        <v>45</v>
      </c>
      <c r="N273" t="s">
        <v>47</v>
      </c>
      <c r="O273">
        <v>4</v>
      </c>
      <c r="P273">
        <v>11</v>
      </c>
    </row>
    <row r="274" spans="1:16" x14ac:dyDescent="0.4">
      <c r="A274" t="s">
        <v>323</v>
      </c>
      <c r="B274">
        <v>15</v>
      </c>
      <c r="C274" t="s">
        <v>56</v>
      </c>
      <c r="D274" t="s">
        <v>49</v>
      </c>
      <c r="E274" t="s">
        <v>47</v>
      </c>
      <c r="F274">
        <v>0</v>
      </c>
      <c r="G274" t="s">
        <v>50</v>
      </c>
      <c r="H274" t="s">
        <v>47</v>
      </c>
      <c r="I274" t="s">
        <v>47</v>
      </c>
      <c r="J274">
        <v>1.25</v>
      </c>
      <c r="K274">
        <v>1</v>
      </c>
      <c r="L274">
        <v>4</v>
      </c>
      <c r="M274" t="s">
        <v>45</v>
      </c>
      <c r="N274" t="s">
        <v>45</v>
      </c>
      <c r="O274">
        <v>1</v>
      </c>
      <c r="P274">
        <v>8</v>
      </c>
    </row>
    <row r="275" spans="1:16" x14ac:dyDescent="0.4">
      <c r="A275" t="s">
        <v>324</v>
      </c>
      <c r="B275">
        <v>19</v>
      </c>
      <c r="C275" t="s">
        <v>43</v>
      </c>
      <c r="D275" t="s">
        <v>49</v>
      </c>
      <c r="E275" t="s">
        <v>47</v>
      </c>
      <c r="F275">
        <v>0</v>
      </c>
      <c r="G275" t="s">
        <v>46</v>
      </c>
      <c r="H275" t="s">
        <v>45</v>
      </c>
      <c r="I275" t="s">
        <v>47</v>
      </c>
      <c r="J275">
        <v>5</v>
      </c>
      <c r="K275">
        <v>1</v>
      </c>
      <c r="L275">
        <v>0</v>
      </c>
      <c r="M275" t="s">
        <v>45</v>
      </c>
      <c r="N275" t="s">
        <v>45</v>
      </c>
      <c r="O275">
        <v>1</v>
      </c>
      <c r="P275">
        <v>11</v>
      </c>
    </row>
    <row r="276" spans="1:16" x14ac:dyDescent="0.4">
      <c r="A276" t="s">
        <v>325</v>
      </c>
      <c r="B276">
        <v>15</v>
      </c>
      <c r="C276" t="s">
        <v>43</v>
      </c>
      <c r="D276" t="s">
        <v>44</v>
      </c>
      <c r="E276" t="s">
        <v>45</v>
      </c>
      <c r="F276">
        <v>0</v>
      </c>
      <c r="G276" t="s">
        <v>46</v>
      </c>
      <c r="H276" t="s">
        <v>47</v>
      </c>
      <c r="I276" t="s">
        <v>45</v>
      </c>
      <c r="J276">
        <v>1</v>
      </c>
      <c r="K276">
        <v>0</v>
      </c>
      <c r="L276">
        <v>0</v>
      </c>
      <c r="M276" t="s">
        <v>45</v>
      </c>
      <c r="N276" t="s">
        <v>47</v>
      </c>
      <c r="O276">
        <v>1</v>
      </c>
      <c r="P276">
        <v>10</v>
      </c>
    </row>
    <row r="277" spans="1:16" x14ac:dyDescent="0.4">
      <c r="A277" t="s">
        <v>326</v>
      </c>
      <c r="B277">
        <v>16</v>
      </c>
      <c r="C277" t="s">
        <v>43</v>
      </c>
      <c r="D277" t="s">
        <v>44</v>
      </c>
      <c r="E277" t="s">
        <v>45</v>
      </c>
      <c r="F277">
        <v>0</v>
      </c>
      <c r="G277" t="s">
        <v>46</v>
      </c>
      <c r="H277" t="s">
        <v>45</v>
      </c>
      <c r="I277" t="s">
        <v>47</v>
      </c>
      <c r="J277">
        <v>9.25</v>
      </c>
      <c r="K277">
        <v>0</v>
      </c>
      <c r="L277">
        <v>4</v>
      </c>
      <c r="M277" t="s">
        <v>45</v>
      </c>
      <c r="N277" t="s">
        <v>47</v>
      </c>
      <c r="O277">
        <v>1</v>
      </c>
      <c r="P277">
        <v>14</v>
      </c>
    </row>
    <row r="278" spans="1:16" x14ac:dyDescent="0.4">
      <c r="A278" t="s">
        <v>327</v>
      </c>
      <c r="B278">
        <v>16</v>
      </c>
      <c r="C278" t="s">
        <v>56</v>
      </c>
      <c r="D278" t="s">
        <v>44</v>
      </c>
      <c r="E278" t="s">
        <v>45</v>
      </c>
      <c r="F278">
        <v>1</v>
      </c>
      <c r="G278" t="s">
        <v>46</v>
      </c>
      <c r="H278" t="s">
        <v>47</v>
      </c>
      <c r="I278" t="s">
        <v>47</v>
      </c>
      <c r="J278">
        <v>3.25</v>
      </c>
      <c r="K278">
        <v>0</v>
      </c>
      <c r="L278">
        <v>2</v>
      </c>
      <c r="M278" t="s">
        <v>45</v>
      </c>
      <c r="N278" t="s">
        <v>47</v>
      </c>
      <c r="O278">
        <v>1</v>
      </c>
      <c r="P278">
        <v>16</v>
      </c>
    </row>
    <row r="279" spans="1:16" x14ac:dyDescent="0.4">
      <c r="A279" t="s">
        <v>328</v>
      </c>
      <c r="B279">
        <v>15</v>
      </c>
      <c r="C279" t="s">
        <v>56</v>
      </c>
      <c r="D279" t="s">
        <v>49</v>
      </c>
      <c r="E279" t="s">
        <v>47</v>
      </c>
      <c r="F279">
        <v>0</v>
      </c>
      <c r="G279" t="s">
        <v>50</v>
      </c>
      <c r="H279" t="s">
        <v>47</v>
      </c>
      <c r="I279" t="s">
        <v>47</v>
      </c>
      <c r="J279">
        <v>1.5</v>
      </c>
      <c r="K279">
        <v>0</v>
      </c>
      <c r="L279">
        <v>0</v>
      </c>
      <c r="M279" t="s">
        <v>47</v>
      </c>
      <c r="N279" t="s">
        <v>47</v>
      </c>
      <c r="O279">
        <v>1</v>
      </c>
      <c r="P279">
        <v>9</v>
      </c>
    </row>
    <row r="280" spans="1:16" x14ac:dyDescent="0.4">
      <c r="A280" t="s">
        <v>329</v>
      </c>
      <c r="B280">
        <v>18</v>
      </c>
      <c r="C280" t="s">
        <v>56</v>
      </c>
      <c r="D280" t="s">
        <v>49</v>
      </c>
      <c r="E280" t="s">
        <v>45</v>
      </c>
      <c r="F280">
        <v>0</v>
      </c>
      <c r="G280" t="s">
        <v>50</v>
      </c>
      <c r="H280" t="s">
        <v>47</v>
      </c>
      <c r="I280" t="s">
        <v>47</v>
      </c>
      <c r="J280">
        <v>1</v>
      </c>
      <c r="K280">
        <v>1</v>
      </c>
      <c r="L280">
        <v>4</v>
      </c>
      <c r="M280" t="s">
        <v>47</v>
      </c>
      <c r="N280" t="s">
        <v>45</v>
      </c>
      <c r="O280">
        <v>1</v>
      </c>
      <c r="P280">
        <v>10</v>
      </c>
    </row>
    <row r="281" spans="1:16" x14ac:dyDescent="0.4">
      <c r="A281" t="s">
        <v>330</v>
      </c>
      <c r="B281">
        <v>16</v>
      </c>
      <c r="C281" t="s">
        <v>56</v>
      </c>
      <c r="D281" t="s">
        <v>44</v>
      </c>
      <c r="E281" t="s">
        <v>45</v>
      </c>
      <c r="F281">
        <v>2</v>
      </c>
      <c r="G281" t="s">
        <v>46</v>
      </c>
      <c r="H281" t="s">
        <v>45</v>
      </c>
      <c r="I281" t="s">
        <v>47</v>
      </c>
      <c r="J281">
        <v>8.25</v>
      </c>
      <c r="K281">
        <v>0</v>
      </c>
      <c r="L281">
        <v>10</v>
      </c>
      <c r="M281" t="s">
        <v>45</v>
      </c>
      <c r="N281" t="s">
        <v>47</v>
      </c>
      <c r="O281">
        <v>1</v>
      </c>
      <c r="P281">
        <v>14</v>
      </c>
    </row>
    <row r="282" spans="1:16" x14ac:dyDescent="0.4">
      <c r="A282" t="s">
        <v>331</v>
      </c>
      <c r="B282">
        <v>16</v>
      </c>
      <c r="C282" t="s">
        <v>56</v>
      </c>
      <c r="D282" t="s">
        <v>44</v>
      </c>
      <c r="E282" t="s">
        <v>47</v>
      </c>
      <c r="F282">
        <v>1</v>
      </c>
      <c r="G282" t="s">
        <v>46</v>
      </c>
      <c r="H282" t="s">
        <v>45</v>
      </c>
      <c r="I282" t="s">
        <v>47</v>
      </c>
      <c r="J282">
        <v>4.25</v>
      </c>
      <c r="K282">
        <v>0</v>
      </c>
      <c r="L282">
        <v>2</v>
      </c>
      <c r="M282" t="s">
        <v>45</v>
      </c>
      <c r="N282" t="s">
        <v>47</v>
      </c>
      <c r="O282">
        <v>1</v>
      </c>
      <c r="P282">
        <v>16</v>
      </c>
    </row>
    <row r="283" spans="1:16" x14ac:dyDescent="0.4">
      <c r="A283" t="s">
        <v>332</v>
      </c>
      <c r="B283">
        <v>16</v>
      </c>
      <c r="C283" t="s">
        <v>43</v>
      </c>
      <c r="D283" t="s">
        <v>44</v>
      </c>
      <c r="E283" t="s">
        <v>45</v>
      </c>
      <c r="F283">
        <v>0</v>
      </c>
      <c r="G283" t="s">
        <v>46</v>
      </c>
      <c r="H283" t="s">
        <v>47</v>
      </c>
      <c r="I283" t="s">
        <v>47</v>
      </c>
      <c r="J283">
        <v>0.75</v>
      </c>
      <c r="K283">
        <v>0</v>
      </c>
      <c r="L283">
        <v>7</v>
      </c>
      <c r="M283" t="s">
        <v>45</v>
      </c>
      <c r="N283" t="s">
        <v>47</v>
      </c>
      <c r="O283">
        <v>1</v>
      </c>
      <c r="P283">
        <v>16</v>
      </c>
    </row>
    <row r="284" spans="1:16" x14ac:dyDescent="0.4">
      <c r="A284" t="s">
        <v>333</v>
      </c>
      <c r="B284">
        <v>16</v>
      </c>
      <c r="C284" t="s">
        <v>56</v>
      </c>
      <c r="D284" t="s">
        <v>44</v>
      </c>
      <c r="E284" t="s">
        <v>45</v>
      </c>
      <c r="F284">
        <v>0</v>
      </c>
      <c r="G284" t="s">
        <v>50</v>
      </c>
      <c r="H284" t="s">
        <v>47</v>
      </c>
      <c r="I284" t="s">
        <v>47</v>
      </c>
      <c r="J284">
        <v>7</v>
      </c>
      <c r="K284">
        <v>1</v>
      </c>
      <c r="L284">
        <v>0</v>
      </c>
      <c r="M284" t="s">
        <v>45</v>
      </c>
      <c r="N284" t="s">
        <v>47</v>
      </c>
      <c r="O284">
        <v>1</v>
      </c>
      <c r="P284">
        <v>8</v>
      </c>
    </row>
    <row r="285" spans="1:16" x14ac:dyDescent="0.4">
      <c r="A285" t="s">
        <v>334</v>
      </c>
      <c r="B285">
        <v>18</v>
      </c>
      <c r="C285" t="s">
        <v>56</v>
      </c>
      <c r="D285" t="s">
        <v>44</v>
      </c>
      <c r="E285" t="s">
        <v>45</v>
      </c>
      <c r="F285">
        <v>0</v>
      </c>
      <c r="G285" t="s">
        <v>46</v>
      </c>
      <c r="H285" t="s">
        <v>47</v>
      </c>
      <c r="I285" t="s">
        <v>47</v>
      </c>
      <c r="J285">
        <v>6.75</v>
      </c>
      <c r="K285">
        <v>0</v>
      </c>
      <c r="L285">
        <v>10</v>
      </c>
      <c r="M285" t="s">
        <v>45</v>
      </c>
      <c r="N285" t="s">
        <v>45</v>
      </c>
      <c r="O285">
        <v>1</v>
      </c>
      <c r="P285">
        <v>11</v>
      </c>
    </row>
    <row r="286" spans="1:16" x14ac:dyDescent="0.4">
      <c r="A286" t="s">
        <v>335</v>
      </c>
      <c r="B286">
        <v>18</v>
      </c>
      <c r="C286" t="s">
        <v>56</v>
      </c>
      <c r="D286" t="s">
        <v>44</v>
      </c>
      <c r="E286" t="s">
        <v>45</v>
      </c>
      <c r="F286">
        <v>0</v>
      </c>
      <c r="G286" t="s">
        <v>46</v>
      </c>
      <c r="H286" t="s">
        <v>47</v>
      </c>
      <c r="I286" t="s">
        <v>47</v>
      </c>
      <c r="J286">
        <v>7.25</v>
      </c>
      <c r="K286">
        <v>0</v>
      </c>
      <c r="L286">
        <v>0</v>
      </c>
      <c r="M286" t="s">
        <v>45</v>
      </c>
      <c r="N286" t="s">
        <v>47</v>
      </c>
      <c r="O286">
        <v>1</v>
      </c>
      <c r="P286">
        <v>14</v>
      </c>
    </row>
    <row r="287" spans="1:16" x14ac:dyDescent="0.4">
      <c r="A287" t="s">
        <v>336</v>
      </c>
      <c r="B287">
        <v>16</v>
      </c>
      <c r="C287" t="s">
        <v>43</v>
      </c>
      <c r="D287" t="s">
        <v>44</v>
      </c>
      <c r="E287" t="s">
        <v>47</v>
      </c>
      <c r="F287">
        <v>0</v>
      </c>
      <c r="G287" t="s">
        <v>46</v>
      </c>
      <c r="H287" t="s">
        <v>47</v>
      </c>
      <c r="I287" t="s">
        <v>47</v>
      </c>
      <c r="J287">
        <v>2.5</v>
      </c>
      <c r="K287">
        <v>2</v>
      </c>
      <c r="L287">
        <v>0</v>
      </c>
      <c r="M287" t="s">
        <v>45</v>
      </c>
      <c r="N287" t="s">
        <v>45</v>
      </c>
      <c r="O287">
        <v>2</v>
      </c>
      <c r="P287">
        <v>10</v>
      </c>
    </row>
    <row r="288" spans="1:16" x14ac:dyDescent="0.4">
      <c r="A288" t="s">
        <v>337</v>
      </c>
      <c r="B288">
        <v>17</v>
      </c>
      <c r="C288" t="s">
        <v>56</v>
      </c>
      <c r="D288" t="s">
        <v>49</v>
      </c>
      <c r="E288" t="s">
        <v>45</v>
      </c>
      <c r="F288">
        <v>0</v>
      </c>
      <c r="G288" t="s">
        <v>50</v>
      </c>
      <c r="H288" t="s">
        <v>45</v>
      </c>
      <c r="I288" t="s">
        <v>47</v>
      </c>
      <c r="J288">
        <v>1</v>
      </c>
      <c r="K288">
        <v>0</v>
      </c>
      <c r="L288">
        <v>2</v>
      </c>
      <c r="M288" t="s">
        <v>47</v>
      </c>
      <c r="N288" t="s">
        <v>45</v>
      </c>
      <c r="O288">
        <v>1</v>
      </c>
      <c r="P288">
        <v>11</v>
      </c>
    </row>
    <row r="289" spans="1:16" x14ac:dyDescent="0.4">
      <c r="A289" t="s">
        <v>338</v>
      </c>
      <c r="B289">
        <v>18</v>
      </c>
      <c r="C289" t="s">
        <v>43</v>
      </c>
      <c r="D289" t="s">
        <v>49</v>
      </c>
      <c r="E289" t="s">
        <v>47</v>
      </c>
      <c r="F289">
        <v>0</v>
      </c>
      <c r="G289" t="s">
        <v>50</v>
      </c>
      <c r="H289" t="s">
        <v>47</v>
      </c>
      <c r="I289" t="s">
        <v>47</v>
      </c>
      <c r="J289">
        <v>0.5</v>
      </c>
      <c r="K289">
        <v>0</v>
      </c>
      <c r="L289">
        <v>4</v>
      </c>
      <c r="M289" t="s">
        <v>45</v>
      </c>
      <c r="N289" t="s">
        <v>47</v>
      </c>
      <c r="O289">
        <v>3</v>
      </c>
      <c r="P289">
        <v>11</v>
      </c>
    </row>
    <row r="290" spans="1:16" x14ac:dyDescent="0.4">
      <c r="A290" t="s">
        <v>339</v>
      </c>
      <c r="B290">
        <v>15</v>
      </c>
      <c r="C290" t="s">
        <v>43</v>
      </c>
      <c r="D290" t="s">
        <v>44</v>
      </c>
      <c r="E290" t="s">
        <v>45</v>
      </c>
      <c r="F290">
        <v>1</v>
      </c>
      <c r="G290" t="s">
        <v>46</v>
      </c>
      <c r="H290" t="s">
        <v>47</v>
      </c>
      <c r="I290" t="s">
        <v>47</v>
      </c>
      <c r="J290">
        <v>2.5</v>
      </c>
      <c r="K290">
        <v>0</v>
      </c>
      <c r="L290">
        <v>0</v>
      </c>
      <c r="M290" t="s">
        <v>45</v>
      </c>
      <c r="N290" t="s">
        <v>47</v>
      </c>
      <c r="O290">
        <v>1</v>
      </c>
      <c r="P290">
        <v>14</v>
      </c>
    </row>
    <row r="291" spans="1:16" x14ac:dyDescent="0.4">
      <c r="A291" t="s">
        <v>340</v>
      </c>
      <c r="B291">
        <v>18</v>
      </c>
      <c r="C291" t="s">
        <v>43</v>
      </c>
      <c r="D291" t="s">
        <v>49</v>
      </c>
      <c r="E291" t="s">
        <v>45</v>
      </c>
      <c r="F291">
        <v>2</v>
      </c>
      <c r="G291" t="s">
        <v>50</v>
      </c>
      <c r="H291" t="s">
        <v>45</v>
      </c>
      <c r="I291" t="s">
        <v>47</v>
      </c>
      <c r="J291">
        <v>0</v>
      </c>
      <c r="K291">
        <v>0</v>
      </c>
      <c r="L291">
        <v>5</v>
      </c>
      <c r="M291" t="s">
        <v>45</v>
      </c>
      <c r="N291" t="s">
        <v>45</v>
      </c>
      <c r="O291">
        <v>1</v>
      </c>
      <c r="P291">
        <v>14</v>
      </c>
    </row>
    <row r="292" spans="1:16" x14ac:dyDescent="0.4">
      <c r="A292" t="s">
        <v>341</v>
      </c>
      <c r="B292">
        <v>16</v>
      </c>
      <c r="C292" t="s">
        <v>43</v>
      </c>
      <c r="D292" t="s">
        <v>44</v>
      </c>
      <c r="E292" t="s">
        <v>47</v>
      </c>
      <c r="F292">
        <v>1</v>
      </c>
      <c r="G292" t="s">
        <v>46</v>
      </c>
      <c r="H292" t="s">
        <v>45</v>
      </c>
      <c r="I292" t="s">
        <v>45</v>
      </c>
      <c r="J292">
        <v>4.25</v>
      </c>
      <c r="K292">
        <v>0</v>
      </c>
      <c r="L292">
        <v>2</v>
      </c>
      <c r="M292" t="s">
        <v>45</v>
      </c>
      <c r="N292" t="s">
        <v>47</v>
      </c>
      <c r="O292">
        <v>1</v>
      </c>
      <c r="P292">
        <v>13</v>
      </c>
    </row>
    <row r="293" spans="1:16" x14ac:dyDescent="0.4">
      <c r="A293" t="s">
        <v>342</v>
      </c>
      <c r="B293">
        <v>18</v>
      </c>
      <c r="C293" t="s">
        <v>56</v>
      </c>
      <c r="D293" t="s">
        <v>49</v>
      </c>
      <c r="E293" t="s">
        <v>45</v>
      </c>
      <c r="F293">
        <v>2</v>
      </c>
      <c r="G293" t="s">
        <v>46</v>
      </c>
      <c r="H293" t="s">
        <v>45</v>
      </c>
      <c r="I293" t="s">
        <v>47</v>
      </c>
      <c r="J293">
        <v>3.75</v>
      </c>
      <c r="K293">
        <v>0</v>
      </c>
      <c r="L293">
        <v>8</v>
      </c>
      <c r="M293" t="s">
        <v>45</v>
      </c>
      <c r="N293" t="s">
        <v>47</v>
      </c>
      <c r="O293">
        <v>2</v>
      </c>
      <c r="P293">
        <v>12</v>
      </c>
    </row>
    <row r="294" spans="1:16" x14ac:dyDescent="0.4">
      <c r="A294" t="s">
        <v>343</v>
      </c>
      <c r="B294">
        <v>15</v>
      </c>
      <c r="C294" t="s">
        <v>56</v>
      </c>
      <c r="D294" t="s">
        <v>44</v>
      </c>
      <c r="E294" t="s">
        <v>45</v>
      </c>
      <c r="F294">
        <v>0</v>
      </c>
      <c r="G294" t="s">
        <v>46</v>
      </c>
      <c r="H294" t="s">
        <v>47</v>
      </c>
      <c r="I294" t="s">
        <v>45</v>
      </c>
      <c r="J294">
        <v>4</v>
      </c>
      <c r="K294">
        <v>0</v>
      </c>
      <c r="L294">
        <v>16</v>
      </c>
      <c r="M294" t="s">
        <v>45</v>
      </c>
      <c r="N294" t="s">
        <v>47</v>
      </c>
      <c r="O294">
        <v>1</v>
      </c>
      <c r="P294">
        <v>10</v>
      </c>
    </row>
    <row r="295" spans="1:16" x14ac:dyDescent="0.4">
      <c r="A295" t="s">
        <v>344</v>
      </c>
      <c r="B295">
        <v>15</v>
      </c>
      <c r="C295" t="s">
        <v>56</v>
      </c>
      <c r="D295" t="s">
        <v>44</v>
      </c>
      <c r="E295" t="s">
        <v>45</v>
      </c>
      <c r="F295">
        <v>0</v>
      </c>
      <c r="G295" t="s">
        <v>46</v>
      </c>
      <c r="H295" t="s">
        <v>47</v>
      </c>
      <c r="I295" t="s">
        <v>47</v>
      </c>
      <c r="J295">
        <v>4.25</v>
      </c>
      <c r="K295">
        <v>0</v>
      </c>
      <c r="L295">
        <v>0</v>
      </c>
      <c r="M295" t="s">
        <v>45</v>
      </c>
      <c r="N295" t="s">
        <v>47</v>
      </c>
      <c r="O295">
        <v>1</v>
      </c>
      <c r="P295">
        <v>14</v>
      </c>
    </row>
    <row r="296" spans="1:16" x14ac:dyDescent="0.4">
      <c r="A296" t="s">
        <v>345</v>
      </c>
      <c r="B296">
        <v>15</v>
      </c>
      <c r="C296" t="s">
        <v>43</v>
      </c>
      <c r="D296" t="s">
        <v>44</v>
      </c>
      <c r="E296" t="s">
        <v>45</v>
      </c>
      <c r="F296">
        <v>2</v>
      </c>
      <c r="G296" t="s">
        <v>46</v>
      </c>
      <c r="H296" t="s">
        <v>47</v>
      </c>
      <c r="I296" t="s">
        <v>47</v>
      </c>
      <c r="J296">
        <v>1.5</v>
      </c>
      <c r="K296">
        <v>0</v>
      </c>
      <c r="L296">
        <v>0</v>
      </c>
      <c r="M296" t="s">
        <v>45</v>
      </c>
      <c r="N296" t="s">
        <v>47</v>
      </c>
      <c r="O296">
        <v>1</v>
      </c>
      <c r="P296">
        <v>12</v>
      </c>
    </row>
    <row r="297" spans="1:16" x14ac:dyDescent="0.4">
      <c r="A297" t="s">
        <v>346</v>
      </c>
      <c r="B297">
        <v>15</v>
      </c>
      <c r="C297" t="s">
        <v>43</v>
      </c>
      <c r="D297" t="s">
        <v>44</v>
      </c>
      <c r="E297" t="s">
        <v>45</v>
      </c>
      <c r="F297">
        <v>0</v>
      </c>
      <c r="G297" t="s">
        <v>50</v>
      </c>
      <c r="H297" t="s">
        <v>45</v>
      </c>
      <c r="I297" t="s">
        <v>47</v>
      </c>
      <c r="J297">
        <v>1.75</v>
      </c>
      <c r="K297">
        <v>0</v>
      </c>
      <c r="L297">
        <v>11</v>
      </c>
      <c r="M297" t="s">
        <v>45</v>
      </c>
      <c r="N297" t="s">
        <v>47</v>
      </c>
      <c r="O297">
        <v>3</v>
      </c>
      <c r="P297">
        <v>11</v>
      </c>
    </row>
    <row r="298" spans="1:16" x14ac:dyDescent="0.4">
      <c r="A298" t="s">
        <v>347</v>
      </c>
      <c r="B298">
        <v>16</v>
      </c>
      <c r="C298" t="s">
        <v>56</v>
      </c>
      <c r="D298" t="s">
        <v>44</v>
      </c>
      <c r="E298" t="s">
        <v>45</v>
      </c>
      <c r="F298">
        <v>2</v>
      </c>
      <c r="G298" t="s">
        <v>50</v>
      </c>
      <c r="H298" t="s">
        <v>47</v>
      </c>
      <c r="I298" t="s">
        <v>47</v>
      </c>
      <c r="J298">
        <v>6</v>
      </c>
      <c r="K298">
        <v>0</v>
      </c>
      <c r="L298">
        <v>1</v>
      </c>
      <c r="M298" t="s">
        <v>45</v>
      </c>
      <c r="N298" t="s">
        <v>45</v>
      </c>
      <c r="O298">
        <v>2</v>
      </c>
      <c r="P298">
        <v>12</v>
      </c>
    </row>
    <row r="299" spans="1:16" x14ac:dyDescent="0.4">
      <c r="A299" t="s">
        <v>348</v>
      </c>
      <c r="B299">
        <v>16</v>
      </c>
      <c r="C299" t="s">
        <v>56</v>
      </c>
      <c r="D299" t="s">
        <v>49</v>
      </c>
      <c r="E299" t="s">
        <v>47</v>
      </c>
      <c r="F299">
        <v>0</v>
      </c>
      <c r="G299" t="s">
        <v>50</v>
      </c>
      <c r="H299" t="s">
        <v>47</v>
      </c>
      <c r="I299" t="s">
        <v>47</v>
      </c>
      <c r="J299">
        <v>9.25</v>
      </c>
      <c r="K299">
        <v>0</v>
      </c>
      <c r="L299">
        <v>2</v>
      </c>
      <c r="M299" t="s">
        <v>45</v>
      </c>
      <c r="N299" t="s">
        <v>45</v>
      </c>
      <c r="O299">
        <v>2</v>
      </c>
      <c r="P299">
        <v>11</v>
      </c>
    </row>
    <row r="300" spans="1:16" x14ac:dyDescent="0.4">
      <c r="A300" t="s">
        <v>349</v>
      </c>
      <c r="B300">
        <v>18</v>
      </c>
      <c r="C300" t="s">
        <v>56</v>
      </c>
      <c r="D300" t="s">
        <v>49</v>
      </c>
      <c r="E300" t="s">
        <v>45</v>
      </c>
      <c r="F300">
        <v>2</v>
      </c>
      <c r="G300" t="s">
        <v>50</v>
      </c>
      <c r="H300" t="s">
        <v>47</v>
      </c>
      <c r="I300" t="s">
        <v>47</v>
      </c>
      <c r="J300">
        <v>4.25</v>
      </c>
      <c r="K300">
        <v>0</v>
      </c>
      <c r="L300">
        <v>0</v>
      </c>
      <c r="M300" t="s">
        <v>45</v>
      </c>
      <c r="N300" t="s">
        <v>45</v>
      </c>
      <c r="O300">
        <v>3</v>
      </c>
      <c r="P300">
        <v>0</v>
      </c>
    </row>
    <row r="301" spans="1:16" x14ac:dyDescent="0.4">
      <c r="A301" t="s">
        <v>350</v>
      </c>
      <c r="B301">
        <v>16</v>
      </c>
      <c r="C301" t="s">
        <v>56</v>
      </c>
      <c r="D301" t="s">
        <v>44</v>
      </c>
      <c r="E301" t="s">
        <v>47</v>
      </c>
      <c r="F301">
        <v>0</v>
      </c>
      <c r="G301" t="s">
        <v>50</v>
      </c>
      <c r="H301" t="s">
        <v>47</v>
      </c>
      <c r="I301" t="s">
        <v>47</v>
      </c>
      <c r="J301">
        <v>3.75</v>
      </c>
      <c r="K301">
        <v>0</v>
      </c>
      <c r="L301">
        <v>0</v>
      </c>
      <c r="M301" t="s">
        <v>45</v>
      </c>
      <c r="N301" t="s">
        <v>45</v>
      </c>
      <c r="O301">
        <v>1</v>
      </c>
      <c r="P301">
        <v>16</v>
      </c>
    </row>
    <row r="302" spans="1:16" x14ac:dyDescent="0.4">
      <c r="A302" t="s">
        <v>351</v>
      </c>
      <c r="B302">
        <v>15</v>
      </c>
      <c r="C302" t="s">
        <v>56</v>
      </c>
      <c r="D302" t="s">
        <v>44</v>
      </c>
      <c r="E302" t="s">
        <v>45</v>
      </c>
      <c r="F302">
        <v>2</v>
      </c>
      <c r="G302" t="s">
        <v>46</v>
      </c>
      <c r="H302" t="s">
        <v>47</v>
      </c>
      <c r="I302" t="s">
        <v>47</v>
      </c>
      <c r="J302">
        <v>4.5</v>
      </c>
      <c r="K302">
        <v>0</v>
      </c>
      <c r="L302">
        <v>2</v>
      </c>
      <c r="M302" t="s">
        <v>45</v>
      </c>
      <c r="N302" t="s">
        <v>47</v>
      </c>
      <c r="O302">
        <v>1</v>
      </c>
      <c r="P302">
        <v>14</v>
      </c>
    </row>
    <row r="303" spans="1:16" x14ac:dyDescent="0.4">
      <c r="A303" t="s">
        <v>352</v>
      </c>
      <c r="B303">
        <v>17</v>
      </c>
      <c r="C303" t="s">
        <v>56</v>
      </c>
      <c r="D303" t="s">
        <v>44</v>
      </c>
      <c r="E303" t="s">
        <v>45</v>
      </c>
      <c r="F303">
        <v>0</v>
      </c>
      <c r="G303" t="s">
        <v>46</v>
      </c>
      <c r="H303" t="s">
        <v>47</v>
      </c>
      <c r="I303" t="s">
        <v>47</v>
      </c>
      <c r="J303">
        <v>4.5</v>
      </c>
      <c r="K303">
        <v>0</v>
      </c>
      <c r="L303">
        <v>10</v>
      </c>
      <c r="M303" t="s">
        <v>45</v>
      </c>
      <c r="N303" t="s">
        <v>45</v>
      </c>
      <c r="O303">
        <v>2</v>
      </c>
      <c r="P303">
        <v>14</v>
      </c>
    </row>
    <row r="304" spans="1:16" x14ac:dyDescent="0.4">
      <c r="A304" t="s">
        <v>353</v>
      </c>
      <c r="B304">
        <v>16</v>
      </c>
      <c r="C304" t="s">
        <v>56</v>
      </c>
      <c r="D304" t="s">
        <v>44</v>
      </c>
      <c r="E304" t="s">
        <v>45</v>
      </c>
      <c r="F304">
        <v>0</v>
      </c>
      <c r="G304" t="s">
        <v>46</v>
      </c>
      <c r="H304" t="s">
        <v>47</v>
      </c>
      <c r="I304" t="s">
        <v>47</v>
      </c>
      <c r="J304">
        <v>8</v>
      </c>
      <c r="K304">
        <v>0</v>
      </c>
      <c r="L304">
        <v>2</v>
      </c>
      <c r="M304" t="s">
        <v>45</v>
      </c>
      <c r="N304" t="s">
        <v>45</v>
      </c>
      <c r="O304">
        <v>2</v>
      </c>
      <c r="P304">
        <v>11</v>
      </c>
    </row>
    <row r="305" spans="1:16" x14ac:dyDescent="0.4">
      <c r="A305" t="s">
        <v>354</v>
      </c>
      <c r="B305">
        <v>15</v>
      </c>
      <c r="C305" t="s">
        <v>43</v>
      </c>
      <c r="D305" t="s">
        <v>49</v>
      </c>
      <c r="E305" t="s">
        <v>45</v>
      </c>
      <c r="F305">
        <v>0</v>
      </c>
      <c r="G305" t="s">
        <v>46</v>
      </c>
      <c r="H305" t="s">
        <v>45</v>
      </c>
      <c r="I305" t="s">
        <v>45</v>
      </c>
      <c r="J305">
        <v>4</v>
      </c>
      <c r="K305">
        <v>0</v>
      </c>
      <c r="L305">
        <v>0</v>
      </c>
      <c r="M305" t="s">
        <v>45</v>
      </c>
      <c r="N305" t="s">
        <v>47</v>
      </c>
      <c r="O305">
        <v>1</v>
      </c>
      <c r="P305">
        <v>8</v>
      </c>
    </row>
    <row r="306" spans="1:16" x14ac:dyDescent="0.4">
      <c r="A306" t="s">
        <v>355</v>
      </c>
      <c r="B306">
        <v>15</v>
      </c>
      <c r="C306" t="s">
        <v>56</v>
      </c>
      <c r="D306" t="s">
        <v>44</v>
      </c>
      <c r="E306" t="s">
        <v>47</v>
      </c>
      <c r="F306">
        <v>0</v>
      </c>
      <c r="G306" t="s">
        <v>46</v>
      </c>
      <c r="H306" t="s">
        <v>47</v>
      </c>
      <c r="I306" t="s">
        <v>47</v>
      </c>
      <c r="J306">
        <v>0</v>
      </c>
      <c r="K306">
        <v>0</v>
      </c>
      <c r="L306">
        <v>0</v>
      </c>
      <c r="M306" t="s">
        <v>45</v>
      </c>
      <c r="N306" t="s">
        <v>47</v>
      </c>
      <c r="O306">
        <v>4</v>
      </c>
      <c r="P306">
        <v>13</v>
      </c>
    </row>
    <row r="307" spans="1:16" x14ac:dyDescent="0.4">
      <c r="A307" t="s">
        <v>356</v>
      </c>
      <c r="B307">
        <v>17</v>
      </c>
      <c r="C307" t="s">
        <v>56</v>
      </c>
      <c r="D307" t="s">
        <v>44</v>
      </c>
      <c r="E307" t="s">
        <v>45</v>
      </c>
      <c r="F307">
        <v>0</v>
      </c>
      <c r="G307" t="s">
        <v>46</v>
      </c>
      <c r="H307" t="s">
        <v>47</v>
      </c>
      <c r="I307" t="s">
        <v>47</v>
      </c>
      <c r="J307">
        <v>4.5</v>
      </c>
      <c r="K307">
        <v>0</v>
      </c>
      <c r="L307">
        <v>4</v>
      </c>
      <c r="M307" t="s">
        <v>45</v>
      </c>
      <c r="N307" t="s">
        <v>45</v>
      </c>
      <c r="O307">
        <v>1</v>
      </c>
      <c r="P307">
        <v>13</v>
      </c>
    </row>
    <row r="308" spans="1:16" x14ac:dyDescent="0.4">
      <c r="A308" t="s">
        <v>357</v>
      </c>
      <c r="B308">
        <v>18</v>
      </c>
      <c r="C308" t="s">
        <v>43</v>
      </c>
      <c r="D308" t="s">
        <v>44</v>
      </c>
      <c r="E308" t="s">
        <v>47</v>
      </c>
      <c r="F308">
        <v>2</v>
      </c>
      <c r="G308" t="s">
        <v>50</v>
      </c>
      <c r="H308" t="s">
        <v>45</v>
      </c>
      <c r="I308" t="s">
        <v>47</v>
      </c>
      <c r="J308">
        <v>0.5</v>
      </c>
      <c r="K308">
        <v>0</v>
      </c>
      <c r="L308">
        <v>3</v>
      </c>
      <c r="M308" t="s">
        <v>45</v>
      </c>
      <c r="N308" t="s">
        <v>47</v>
      </c>
      <c r="O308">
        <v>1</v>
      </c>
      <c r="P308">
        <v>17</v>
      </c>
    </row>
    <row r="309" spans="1:16" x14ac:dyDescent="0.4">
      <c r="A309" t="s">
        <v>358</v>
      </c>
      <c r="B309">
        <v>16</v>
      </c>
      <c r="C309" t="s">
        <v>56</v>
      </c>
      <c r="D309" t="s">
        <v>44</v>
      </c>
      <c r="E309" t="s">
        <v>47</v>
      </c>
      <c r="F309">
        <v>2</v>
      </c>
      <c r="G309" t="s">
        <v>50</v>
      </c>
      <c r="H309" t="s">
        <v>47</v>
      </c>
      <c r="I309" t="s">
        <v>47</v>
      </c>
      <c r="J309">
        <v>1.75</v>
      </c>
      <c r="K309">
        <v>0</v>
      </c>
      <c r="L309">
        <v>1</v>
      </c>
      <c r="M309" t="s">
        <v>45</v>
      </c>
      <c r="N309" t="s">
        <v>47</v>
      </c>
      <c r="O309">
        <v>1</v>
      </c>
      <c r="P309">
        <v>11</v>
      </c>
    </row>
    <row r="310" spans="1:16" x14ac:dyDescent="0.4">
      <c r="A310" t="s">
        <v>359</v>
      </c>
      <c r="B310">
        <v>18</v>
      </c>
      <c r="C310" t="s">
        <v>43</v>
      </c>
      <c r="D310" t="s">
        <v>44</v>
      </c>
      <c r="E310" t="s">
        <v>45</v>
      </c>
      <c r="F310">
        <v>0</v>
      </c>
      <c r="G310" t="s">
        <v>46</v>
      </c>
      <c r="H310" t="s">
        <v>47</v>
      </c>
      <c r="I310" t="s">
        <v>47</v>
      </c>
      <c r="J310">
        <v>0</v>
      </c>
      <c r="K310">
        <v>0</v>
      </c>
      <c r="L310">
        <v>6</v>
      </c>
      <c r="M310" t="s">
        <v>45</v>
      </c>
      <c r="N310" t="s">
        <v>47</v>
      </c>
      <c r="O310">
        <v>1</v>
      </c>
      <c r="P310">
        <v>15</v>
      </c>
    </row>
    <row r="311" spans="1:16" x14ac:dyDescent="0.4">
      <c r="A311" t="s">
        <v>360</v>
      </c>
      <c r="B311">
        <v>18</v>
      </c>
      <c r="C311" t="s">
        <v>56</v>
      </c>
      <c r="D311" t="s">
        <v>44</v>
      </c>
      <c r="E311" t="s">
        <v>45</v>
      </c>
      <c r="F311">
        <v>2</v>
      </c>
      <c r="G311" t="s">
        <v>46</v>
      </c>
      <c r="H311" t="s">
        <v>45</v>
      </c>
      <c r="I311" t="s">
        <v>45</v>
      </c>
      <c r="J311">
        <v>4.25</v>
      </c>
      <c r="K311">
        <v>1</v>
      </c>
      <c r="L311">
        <v>2</v>
      </c>
      <c r="M311" t="s">
        <v>45</v>
      </c>
      <c r="N311" t="s">
        <v>45</v>
      </c>
      <c r="O311">
        <v>1</v>
      </c>
      <c r="P311">
        <v>13</v>
      </c>
    </row>
    <row r="312" spans="1:16" x14ac:dyDescent="0.4">
      <c r="A312" t="s">
        <v>361</v>
      </c>
      <c r="B312">
        <v>17</v>
      </c>
      <c r="C312" t="s">
        <v>43</v>
      </c>
      <c r="D312" t="s">
        <v>44</v>
      </c>
      <c r="E312" t="s">
        <v>45</v>
      </c>
      <c r="F312">
        <v>0</v>
      </c>
      <c r="G312" t="s">
        <v>50</v>
      </c>
      <c r="H312" t="s">
        <v>47</v>
      </c>
      <c r="I312" t="s">
        <v>47</v>
      </c>
      <c r="J312">
        <v>4.5</v>
      </c>
      <c r="K312">
        <v>1</v>
      </c>
      <c r="L312">
        <v>4</v>
      </c>
      <c r="M312" t="s">
        <v>45</v>
      </c>
      <c r="N312" t="s">
        <v>47</v>
      </c>
      <c r="O312">
        <v>2</v>
      </c>
      <c r="P312">
        <v>10</v>
      </c>
    </row>
    <row r="313" spans="1:16" x14ac:dyDescent="0.4">
      <c r="A313" t="s">
        <v>362</v>
      </c>
      <c r="B313">
        <v>19</v>
      </c>
      <c r="C313" t="s">
        <v>43</v>
      </c>
      <c r="D313" t="s">
        <v>44</v>
      </c>
      <c r="E313" t="s">
        <v>45</v>
      </c>
      <c r="F313">
        <v>0</v>
      </c>
      <c r="G313" t="s">
        <v>50</v>
      </c>
      <c r="H313" t="s">
        <v>45</v>
      </c>
      <c r="I313" t="s">
        <v>47</v>
      </c>
      <c r="J313">
        <v>0.75</v>
      </c>
      <c r="K313">
        <v>3</v>
      </c>
      <c r="L313">
        <v>4</v>
      </c>
      <c r="M313" t="s">
        <v>45</v>
      </c>
      <c r="N313" t="s">
        <v>47</v>
      </c>
      <c r="O313">
        <v>1</v>
      </c>
      <c r="P313">
        <v>9</v>
      </c>
    </row>
    <row r="314" spans="1:16" x14ac:dyDescent="0.4">
      <c r="A314" t="s">
        <v>363</v>
      </c>
      <c r="B314">
        <v>16</v>
      </c>
      <c r="C314" t="s">
        <v>56</v>
      </c>
      <c r="D314" t="s">
        <v>44</v>
      </c>
      <c r="E314" t="s">
        <v>45</v>
      </c>
      <c r="F314">
        <v>1</v>
      </c>
      <c r="G314" t="s">
        <v>46</v>
      </c>
      <c r="H314" t="s">
        <v>45</v>
      </c>
      <c r="I314" t="s">
        <v>47</v>
      </c>
      <c r="J314">
        <v>2</v>
      </c>
      <c r="K314">
        <v>0</v>
      </c>
      <c r="L314">
        <v>2</v>
      </c>
      <c r="M314" t="s">
        <v>45</v>
      </c>
      <c r="N314" t="s">
        <v>47</v>
      </c>
      <c r="O314">
        <v>1</v>
      </c>
      <c r="P314">
        <v>14</v>
      </c>
    </row>
    <row r="315" spans="1:16" x14ac:dyDescent="0.4">
      <c r="A315" t="s">
        <v>364</v>
      </c>
      <c r="B315">
        <v>18</v>
      </c>
      <c r="C315" t="s">
        <v>56</v>
      </c>
      <c r="D315" t="s">
        <v>44</v>
      </c>
      <c r="E315" t="s">
        <v>47</v>
      </c>
      <c r="F315">
        <v>1</v>
      </c>
      <c r="G315" t="s">
        <v>46</v>
      </c>
      <c r="H315" t="s">
        <v>47</v>
      </c>
      <c r="I315" t="s">
        <v>47</v>
      </c>
      <c r="J315">
        <v>2.75</v>
      </c>
      <c r="K315">
        <v>1</v>
      </c>
      <c r="L315">
        <v>18</v>
      </c>
      <c r="M315" t="s">
        <v>45</v>
      </c>
      <c r="N315" t="s">
        <v>47</v>
      </c>
      <c r="O315">
        <v>1</v>
      </c>
      <c r="P315">
        <v>10</v>
      </c>
    </row>
    <row r="316" spans="1:16" x14ac:dyDescent="0.4">
      <c r="A316" t="s">
        <v>365</v>
      </c>
      <c r="B316">
        <v>16</v>
      </c>
      <c r="C316" t="s">
        <v>43</v>
      </c>
      <c r="D316" t="s">
        <v>49</v>
      </c>
      <c r="E316" t="s">
        <v>47</v>
      </c>
      <c r="F316">
        <v>0</v>
      </c>
      <c r="G316" t="s">
        <v>50</v>
      </c>
      <c r="H316" t="s">
        <v>47</v>
      </c>
      <c r="I316" t="s">
        <v>47</v>
      </c>
      <c r="J316">
        <v>0.25</v>
      </c>
      <c r="K316">
        <v>0</v>
      </c>
      <c r="L316">
        <v>4</v>
      </c>
      <c r="M316" t="s">
        <v>45</v>
      </c>
      <c r="N316" t="s">
        <v>47</v>
      </c>
      <c r="O316">
        <v>3</v>
      </c>
      <c r="P316">
        <v>11</v>
      </c>
    </row>
    <row r="317" spans="1:16" x14ac:dyDescent="0.4">
      <c r="A317" t="s">
        <v>366</v>
      </c>
      <c r="B317">
        <v>17</v>
      </c>
      <c r="C317" t="s">
        <v>56</v>
      </c>
      <c r="D317" t="s">
        <v>44</v>
      </c>
      <c r="E317" t="s">
        <v>47</v>
      </c>
      <c r="F317">
        <v>0</v>
      </c>
      <c r="G317" t="s">
        <v>46</v>
      </c>
      <c r="H317" t="s">
        <v>47</v>
      </c>
      <c r="I317" t="s">
        <v>47</v>
      </c>
      <c r="J317">
        <v>1</v>
      </c>
      <c r="K317">
        <v>1</v>
      </c>
      <c r="L317">
        <v>8</v>
      </c>
      <c r="M317" t="s">
        <v>47</v>
      </c>
      <c r="N317" t="s">
        <v>47</v>
      </c>
      <c r="O317">
        <v>1</v>
      </c>
      <c r="P317">
        <v>10</v>
      </c>
    </row>
    <row r="318" spans="1:16" x14ac:dyDescent="0.4">
      <c r="A318" t="s">
        <v>367</v>
      </c>
      <c r="B318">
        <v>21</v>
      </c>
      <c r="C318" t="s">
        <v>43</v>
      </c>
      <c r="D318" t="s">
        <v>49</v>
      </c>
      <c r="E318" t="s">
        <v>47</v>
      </c>
      <c r="F318">
        <v>0</v>
      </c>
      <c r="G318" t="s">
        <v>46</v>
      </c>
      <c r="H318" t="s">
        <v>45</v>
      </c>
      <c r="I318" t="s">
        <v>47</v>
      </c>
      <c r="J318">
        <v>2.75</v>
      </c>
      <c r="K318">
        <v>2</v>
      </c>
      <c r="L318">
        <v>21</v>
      </c>
      <c r="M318" t="s">
        <v>47</v>
      </c>
      <c r="N318" t="s">
        <v>45</v>
      </c>
      <c r="O318">
        <v>4</v>
      </c>
      <c r="P318">
        <v>10</v>
      </c>
    </row>
    <row r="319" spans="1:16" x14ac:dyDescent="0.4">
      <c r="A319" t="s">
        <v>368</v>
      </c>
      <c r="B319">
        <v>18</v>
      </c>
      <c r="C319" t="s">
        <v>43</v>
      </c>
      <c r="D319" t="s">
        <v>44</v>
      </c>
      <c r="E319" t="s">
        <v>45</v>
      </c>
      <c r="F319">
        <v>1</v>
      </c>
      <c r="G319" t="s">
        <v>46</v>
      </c>
      <c r="H319" t="s">
        <v>47</v>
      </c>
      <c r="I319" t="s">
        <v>47</v>
      </c>
      <c r="J319">
        <v>3</v>
      </c>
      <c r="K319">
        <v>0</v>
      </c>
      <c r="L319">
        <v>2</v>
      </c>
      <c r="M319" t="s">
        <v>45</v>
      </c>
      <c r="N319" t="s">
        <v>47</v>
      </c>
      <c r="O319">
        <v>1</v>
      </c>
      <c r="P319">
        <v>11</v>
      </c>
    </row>
    <row r="320" spans="1:16" x14ac:dyDescent="0.4">
      <c r="A320" t="s">
        <v>369</v>
      </c>
      <c r="B320">
        <v>17</v>
      </c>
      <c r="C320" t="s">
        <v>56</v>
      </c>
      <c r="D320" t="s">
        <v>44</v>
      </c>
      <c r="E320" t="s">
        <v>45</v>
      </c>
      <c r="F320">
        <v>1</v>
      </c>
      <c r="G320" t="s">
        <v>46</v>
      </c>
      <c r="H320" t="s">
        <v>45</v>
      </c>
      <c r="I320" t="s">
        <v>47</v>
      </c>
      <c r="J320">
        <v>6</v>
      </c>
      <c r="K320">
        <v>0</v>
      </c>
      <c r="L320">
        <v>0</v>
      </c>
      <c r="M320" t="s">
        <v>45</v>
      </c>
      <c r="N320" t="s">
        <v>45</v>
      </c>
      <c r="O320">
        <v>2</v>
      </c>
      <c r="P320">
        <v>13</v>
      </c>
    </row>
    <row r="321" spans="1:16" x14ac:dyDescent="0.4">
      <c r="A321" t="s">
        <v>370</v>
      </c>
      <c r="B321">
        <v>19</v>
      </c>
      <c r="C321" t="s">
        <v>56</v>
      </c>
      <c r="D321" t="s">
        <v>44</v>
      </c>
      <c r="E321" t="s">
        <v>45</v>
      </c>
      <c r="F321">
        <v>0</v>
      </c>
      <c r="G321" t="s">
        <v>46</v>
      </c>
      <c r="H321" t="s">
        <v>45</v>
      </c>
      <c r="I321" t="s">
        <v>47</v>
      </c>
      <c r="J321">
        <v>8.75</v>
      </c>
      <c r="K321">
        <v>0</v>
      </c>
      <c r="L321">
        <v>12</v>
      </c>
      <c r="M321" t="s">
        <v>47</v>
      </c>
      <c r="N321" t="s">
        <v>45</v>
      </c>
      <c r="O321">
        <v>4</v>
      </c>
      <c r="P321">
        <v>11</v>
      </c>
    </row>
    <row r="322" spans="1:16" x14ac:dyDescent="0.4">
      <c r="A322" t="s">
        <v>371</v>
      </c>
      <c r="B322">
        <v>18</v>
      </c>
      <c r="C322" t="s">
        <v>56</v>
      </c>
      <c r="D322" t="s">
        <v>44</v>
      </c>
      <c r="E322" t="s">
        <v>45</v>
      </c>
      <c r="F322">
        <v>0</v>
      </c>
      <c r="G322" t="s">
        <v>46</v>
      </c>
      <c r="H322" t="s">
        <v>45</v>
      </c>
      <c r="I322" t="s">
        <v>47</v>
      </c>
      <c r="J322">
        <v>2.75</v>
      </c>
      <c r="K322">
        <v>0</v>
      </c>
      <c r="L322">
        <v>10</v>
      </c>
      <c r="M322" t="s">
        <v>45</v>
      </c>
      <c r="N322" t="s">
        <v>45</v>
      </c>
      <c r="O322">
        <v>1</v>
      </c>
      <c r="P322">
        <v>14</v>
      </c>
    </row>
    <row r="323" spans="1:16" x14ac:dyDescent="0.4">
      <c r="A323" t="s">
        <v>372</v>
      </c>
      <c r="B323">
        <v>16</v>
      </c>
      <c r="C323" t="s">
        <v>56</v>
      </c>
      <c r="D323" t="s">
        <v>44</v>
      </c>
      <c r="E323" t="s">
        <v>45</v>
      </c>
      <c r="F323">
        <v>0</v>
      </c>
      <c r="G323" t="s">
        <v>46</v>
      </c>
      <c r="H323" t="s">
        <v>47</v>
      </c>
      <c r="I323" t="s">
        <v>47</v>
      </c>
      <c r="J323">
        <v>2</v>
      </c>
      <c r="K323">
        <v>0</v>
      </c>
      <c r="L323">
        <v>8</v>
      </c>
      <c r="M323" t="s">
        <v>45</v>
      </c>
      <c r="N323" t="s">
        <v>47</v>
      </c>
      <c r="O323">
        <v>1</v>
      </c>
      <c r="P323">
        <v>16</v>
      </c>
    </row>
    <row r="324" spans="1:16" x14ac:dyDescent="0.4">
      <c r="A324" t="s">
        <v>373</v>
      </c>
      <c r="B324">
        <v>17</v>
      </c>
      <c r="C324" t="s">
        <v>56</v>
      </c>
      <c r="D324" t="s">
        <v>44</v>
      </c>
      <c r="E324" t="s">
        <v>45</v>
      </c>
      <c r="F324">
        <v>0</v>
      </c>
      <c r="G324" t="s">
        <v>46</v>
      </c>
      <c r="H324" t="s">
        <v>45</v>
      </c>
      <c r="I324" t="s">
        <v>47</v>
      </c>
      <c r="J324">
        <v>2.25</v>
      </c>
      <c r="K324">
        <v>0</v>
      </c>
      <c r="L324">
        <v>4</v>
      </c>
      <c r="M324" t="s">
        <v>45</v>
      </c>
      <c r="N324" t="s">
        <v>47</v>
      </c>
      <c r="O324">
        <v>3</v>
      </c>
      <c r="P324">
        <v>16</v>
      </c>
    </row>
    <row r="325" spans="1:16" x14ac:dyDescent="0.4">
      <c r="A325" t="s">
        <v>374</v>
      </c>
      <c r="B325">
        <v>15</v>
      </c>
      <c r="C325" t="s">
        <v>56</v>
      </c>
      <c r="D325" t="s">
        <v>44</v>
      </c>
      <c r="E325" t="s">
        <v>45</v>
      </c>
      <c r="F325">
        <v>0</v>
      </c>
      <c r="G325" t="s">
        <v>46</v>
      </c>
      <c r="H325" t="s">
        <v>47</v>
      </c>
      <c r="I325" t="s">
        <v>47</v>
      </c>
      <c r="J325">
        <v>4.5</v>
      </c>
      <c r="K325">
        <v>0</v>
      </c>
      <c r="L325">
        <v>24</v>
      </c>
      <c r="M325" t="s">
        <v>45</v>
      </c>
      <c r="N325" t="s">
        <v>45</v>
      </c>
      <c r="O325">
        <v>2</v>
      </c>
      <c r="P325">
        <v>9</v>
      </c>
    </row>
    <row r="326" spans="1:16" x14ac:dyDescent="0.4">
      <c r="A326" t="s">
        <v>375</v>
      </c>
      <c r="B326">
        <v>16</v>
      </c>
      <c r="C326" t="s">
        <v>56</v>
      </c>
      <c r="D326" t="s">
        <v>44</v>
      </c>
      <c r="E326" t="s">
        <v>45</v>
      </c>
      <c r="F326">
        <v>0</v>
      </c>
      <c r="G326" t="s">
        <v>46</v>
      </c>
      <c r="H326" t="s">
        <v>47</v>
      </c>
      <c r="I326" t="s">
        <v>47</v>
      </c>
      <c r="J326">
        <v>2.75</v>
      </c>
      <c r="K326">
        <v>0</v>
      </c>
      <c r="L326">
        <v>0</v>
      </c>
      <c r="M326" t="s">
        <v>45</v>
      </c>
      <c r="N326" t="s">
        <v>45</v>
      </c>
      <c r="O326">
        <v>1</v>
      </c>
      <c r="P326">
        <v>11</v>
      </c>
    </row>
    <row r="327" spans="1:16" x14ac:dyDescent="0.4">
      <c r="A327" t="s">
        <v>376</v>
      </c>
      <c r="B327">
        <v>17</v>
      </c>
      <c r="C327" t="s">
        <v>56</v>
      </c>
      <c r="D327" t="s">
        <v>49</v>
      </c>
      <c r="E327" t="s">
        <v>45</v>
      </c>
      <c r="F327">
        <v>2</v>
      </c>
      <c r="G327" t="s">
        <v>46</v>
      </c>
      <c r="H327" t="s">
        <v>45</v>
      </c>
      <c r="I327" t="s">
        <v>47</v>
      </c>
      <c r="J327">
        <v>6.75</v>
      </c>
      <c r="K327">
        <v>0</v>
      </c>
      <c r="L327">
        <v>0</v>
      </c>
      <c r="M327" t="s">
        <v>45</v>
      </c>
      <c r="N327" t="s">
        <v>47</v>
      </c>
      <c r="O327">
        <v>1</v>
      </c>
      <c r="P327">
        <v>8</v>
      </c>
    </row>
    <row r="328" spans="1:16" x14ac:dyDescent="0.4">
      <c r="A328" t="s">
        <v>377</v>
      </c>
      <c r="B328">
        <v>16</v>
      </c>
      <c r="C328" t="s">
        <v>56</v>
      </c>
      <c r="D328" t="s">
        <v>49</v>
      </c>
      <c r="E328" t="s">
        <v>45</v>
      </c>
      <c r="F328">
        <v>2</v>
      </c>
      <c r="G328" t="s">
        <v>50</v>
      </c>
      <c r="H328" t="s">
        <v>45</v>
      </c>
      <c r="I328" t="s">
        <v>47</v>
      </c>
      <c r="J328">
        <v>4</v>
      </c>
      <c r="K328">
        <v>0</v>
      </c>
      <c r="L328">
        <v>0</v>
      </c>
      <c r="M328" t="s">
        <v>45</v>
      </c>
      <c r="N328" t="s">
        <v>45</v>
      </c>
      <c r="O328">
        <v>2</v>
      </c>
      <c r="P328">
        <v>16</v>
      </c>
    </row>
    <row r="329" spans="1:16" x14ac:dyDescent="0.4">
      <c r="A329" t="s">
        <v>378</v>
      </c>
      <c r="B329">
        <v>18</v>
      </c>
      <c r="C329" t="s">
        <v>56</v>
      </c>
      <c r="D329" t="s">
        <v>44</v>
      </c>
      <c r="E329" t="s">
        <v>45</v>
      </c>
      <c r="F329">
        <v>0</v>
      </c>
      <c r="G329" t="s">
        <v>46</v>
      </c>
      <c r="H329" t="s">
        <v>47</v>
      </c>
      <c r="I329" t="s">
        <v>47</v>
      </c>
      <c r="J329">
        <v>9</v>
      </c>
      <c r="K329">
        <v>0</v>
      </c>
      <c r="L329">
        <v>5</v>
      </c>
      <c r="M329" t="s">
        <v>45</v>
      </c>
      <c r="N329" t="s">
        <v>45</v>
      </c>
      <c r="O329">
        <v>1</v>
      </c>
      <c r="P329">
        <v>17</v>
      </c>
    </row>
    <row r="330" spans="1:16" x14ac:dyDescent="0.4">
      <c r="A330" t="s">
        <v>379</v>
      </c>
      <c r="B330">
        <v>18</v>
      </c>
      <c r="C330" t="s">
        <v>43</v>
      </c>
      <c r="D330" t="s">
        <v>44</v>
      </c>
      <c r="E330" t="s">
        <v>47</v>
      </c>
      <c r="F330">
        <v>0</v>
      </c>
      <c r="G330" t="s">
        <v>46</v>
      </c>
      <c r="H330" t="s">
        <v>45</v>
      </c>
      <c r="I330" t="s">
        <v>47</v>
      </c>
      <c r="J330">
        <v>0.25</v>
      </c>
      <c r="K330">
        <v>0</v>
      </c>
      <c r="L330">
        <v>2</v>
      </c>
      <c r="M330" t="s">
        <v>45</v>
      </c>
      <c r="N330" t="s">
        <v>45</v>
      </c>
      <c r="O330">
        <v>4</v>
      </c>
      <c r="P330">
        <v>12</v>
      </c>
    </row>
    <row r="331" spans="1:16" x14ac:dyDescent="0.4">
      <c r="A331" t="s">
        <v>380</v>
      </c>
      <c r="B331">
        <v>17</v>
      </c>
      <c r="C331" t="s">
        <v>56</v>
      </c>
      <c r="D331" t="s">
        <v>49</v>
      </c>
      <c r="E331" t="s">
        <v>45</v>
      </c>
      <c r="F331">
        <v>0</v>
      </c>
      <c r="G331" t="s">
        <v>50</v>
      </c>
      <c r="H331" t="s">
        <v>45</v>
      </c>
      <c r="I331" t="s">
        <v>47</v>
      </c>
      <c r="J331">
        <v>1.5</v>
      </c>
      <c r="K331">
        <v>0</v>
      </c>
      <c r="L331">
        <v>0</v>
      </c>
      <c r="M331" t="s">
        <v>45</v>
      </c>
      <c r="N331" t="s">
        <v>45</v>
      </c>
      <c r="O331">
        <v>1</v>
      </c>
      <c r="P331">
        <v>11</v>
      </c>
    </row>
    <row r="332" spans="1:16" x14ac:dyDescent="0.4">
      <c r="A332" t="s">
        <v>381</v>
      </c>
      <c r="B332">
        <v>16</v>
      </c>
      <c r="C332" t="s">
        <v>43</v>
      </c>
      <c r="D332" t="s">
        <v>49</v>
      </c>
      <c r="E332" t="s">
        <v>47</v>
      </c>
      <c r="F332">
        <v>0</v>
      </c>
      <c r="G332" t="s">
        <v>50</v>
      </c>
      <c r="H332" t="s">
        <v>45</v>
      </c>
      <c r="I332" t="s">
        <v>47</v>
      </c>
      <c r="J332">
        <v>1.5</v>
      </c>
      <c r="K332">
        <v>0</v>
      </c>
      <c r="L332">
        <v>0</v>
      </c>
      <c r="M332" t="s">
        <v>45</v>
      </c>
      <c r="N332" t="s">
        <v>47</v>
      </c>
      <c r="O332">
        <v>3</v>
      </c>
      <c r="P332">
        <v>9</v>
      </c>
    </row>
    <row r="333" spans="1:16" x14ac:dyDescent="0.4">
      <c r="A333" t="s">
        <v>382</v>
      </c>
      <c r="B333">
        <v>18</v>
      </c>
      <c r="C333" t="s">
        <v>56</v>
      </c>
      <c r="D333" t="s">
        <v>49</v>
      </c>
      <c r="E333" t="s">
        <v>45</v>
      </c>
      <c r="F333">
        <v>0</v>
      </c>
      <c r="G333" t="s">
        <v>46</v>
      </c>
      <c r="H333" t="s">
        <v>45</v>
      </c>
      <c r="I333" t="s">
        <v>47</v>
      </c>
      <c r="J333">
        <v>4</v>
      </c>
      <c r="K333">
        <v>0</v>
      </c>
      <c r="L333">
        <v>4</v>
      </c>
      <c r="M333" t="s">
        <v>45</v>
      </c>
      <c r="N333" t="s">
        <v>45</v>
      </c>
      <c r="O333">
        <v>1</v>
      </c>
      <c r="P333">
        <v>8</v>
      </c>
    </row>
    <row r="334" spans="1:16" x14ac:dyDescent="0.4">
      <c r="A334" t="s">
        <v>383</v>
      </c>
      <c r="B334">
        <v>17</v>
      </c>
      <c r="C334" t="s">
        <v>56</v>
      </c>
      <c r="D334" t="s">
        <v>44</v>
      </c>
      <c r="E334" t="s">
        <v>47</v>
      </c>
      <c r="F334">
        <v>2</v>
      </c>
      <c r="G334" t="s">
        <v>50</v>
      </c>
      <c r="H334" t="s">
        <v>45</v>
      </c>
      <c r="I334" t="s">
        <v>47</v>
      </c>
      <c r="J334">
        <v>3.25</v>
      </c>
      <c r="K334">
        <v>0</v>
      </c>
      <c r="L334">
        <v>4</v>
      </c>
      <c r="M334" t="s">
        <v>45</v>
      </c>
      <c r="N334" t="s">
        <v>45</v>
      </c>
      <c r="O334">
        <v>1</v>
      </c>
      <c r="P334">
        <v>15</v>
      </c>
    </row>
    <row r="335" spans="1:16" x14ac:dyDescent="0.4">
      <c r="A335" t="s">
        <v>384</v>
      </c>
      <c r="B335">
        <v>17</v>
      </c>
      <c r="C335" t="s">
        <v>56</v>
      </c>
      <c r="D335" t="s">
        <v>44</v>
      </c>
      <c r="E335" t="s">
        <v>45</v>
      </c>
      <c r="F335">
        <v>0</v>
      </c>
      <c r="G335" t="s">
        <v>46</v>
      </c>
      <c r="H335" t="s">
        <v>47</v>
      </c>
      <c r="I335" t="s">
        <v>47</v>
      </c>
      <c r="J335">
        <v>0.5</v>
      </c>
      <c r="K335">
        <v>0</v>
      </c>
      <c r="L335">
        <v>4</v>
      </c>
      <c r="M335" t="s">
        <v>45</v>
      </c>
      <c r="N335" t="s">
        <v>47</v>
      </c>
      <c r="O335">
        <v>2</v>
      </c>
      <c r="P335">
        <v>13</v>
      </c>
    </row>
    <row r="336" spans="1:16" x14ac:dyDescent="0.4">
      <c r="A336" t="s">
        <v>385</v>
      </c>
      <c r="B336">
        <v>17</v>
      </c>
      <c r="C336" t="s">
        <v>43</v>
      </c>
      <c r="D336" t="s">
        <v>44</v>
      </c>
      <c r="E336" t="s">
        <v>47</v>
      </c>
      <c r="F336">
        <v>2</v>
      </c>
      <c r="G336" t="s">
        <v>50</v>
      </c>
      <c r="H336" t="s">
        <v>47</v>
      </c>
      <c r="I336" t="s">
        <v>47</v>
      </c>
      <c r="J336">
        <v>5</v>
      </c>
      <c r="K336">
        <v>0</v>
      </c>
      <c r="L336">
        <v>0</v>
      </c>
      <c r="M336" t="s">
        <v>45</v>
      </c>
      <c r="N336" t="s">
        <v>47</v>
      </c>
      <c r="O336">
        <v>1</v>
      </c>
      <c r="P336">
        <v>16</v>
      </c>
    </row>
    <row r="337" spans="1:16" x14ac:dyDescent="0.4">
      <c r="A337" t="s">
        <v>386</v>
      </c>
      <c r="B337">
        <v>15</v>
      </c>
      <c r="C337" t="s">
        <v>56</v>
      </c>
      <c r="D337" t="s">
        <v>44</v>
      </c>
      <c r="E337" t="s">
        <v>47</v>
      </c>
      <c r="F337">
        <v>0</v>
      </c>
      <c r="G337" t="s">
        <v>46</v>
      </c>
      <c r="H337" t="s">
        <v>47</v>
      </c>
      <c r="I337" t="s">
        <v>47</v>
      </c>
      <c r="J337">
        <v>2.25</v>
      </c>
      <c r="K337">
        <v>0</v>
      </c>
      <c r="L337">
        <v>4</v>
      </c>
      <c r="M337" t="s">
        <v>45</v>
      </c>
      <c r="N337" t="s">
        <v>47</v>
      </c>
      <c r="O337">
        <v>1</v>
      </c>
      <c r="P337">
        <v>11</v>
      </c>
    </row>
    <row r="338" spans="1:16" x14ac:dyDescent="0.4">
      <c r="A338" t="s">
        <v>387</v>
      </c>
      <c r="B338">
        <v>18</v>
      </c>
      <c r="C338" t="s">
        <v>43</v>
      </c>
      <c r="D338" t="s">
        <v>44</v>
      </c>
      <c r="E338" t="s">
        <v>45</v>
      </c>
      <c r="F338">
        <v>1</v>
      </c>
      <c r="G338" t="s">
        <v>46</v>
      </c>
      <c r="H338" t="s">
        <v>47</v>
      </c>
      <c r="I338" t="s">
        <v>47</v>
      </c>
      <c r="J338">
        <v>6.75</v>
      </c>
      <c r="K338">
        <v>0</v>
      </c>
      <c r="L338">
        <v>0</v>
      </c>
      <c r="M338" t="s">
        <v>45</v>
      </c>
      <c r="N338" t="s">
        <v>45</v>
      </c>
      <c r="O338">
        <v>2</v>
      </c>
      <c r="P338">
        <v>14</v>
      </c>
    </row>
    <row r="339" spans="1:16" x14ac:dyDescent="0.4">
      <c r="A339" t="s">
        <v>388</v>
      </c>
      <c r="B339">
        <v>18</v>
      </c>
      <c r="C339" t="s">
        <v>43</v>
      </c>
      <c r="D339" t="s">
        <v>49</v>
      </c>
      <c r="E339" t="s">
        <v>45</v>
      </c>
      <c r="F339">
        <v>0</v>
      </c>
      <c r="G339" t="s">
        <v>50</v>
      </c>
      <c r="H339" t="s">
        <v>47</v>
      </c>
      <c r="I339" t="s">
        <v>45</v>
      </c>
      <c r="J339">
        <v>0.5</v>
      </c>
      <c r="K339">
        <v>1</v>
      </c>
      <c r="L339">
        <v>0</v>
      </c>
      <c r="M339" t="s">
        <v>45</v>
      </c>
      <c r="N339" t="s">
        <v>47</v>
      </c>
      <c r="O339">
        <v>1</v>
      </c>
      <c r="P339">
        <v>13</v>
      </c>
    </row>
    <row r="340" spans="1:16" x14ac:dyDescent="0.4">
      <c r="A340" t="s">
        <v>389</v>
      </c>
      <c r="B340">
        <v>19</v>
      </c>
      <c r="C340" t="s">
        <v>43</v>
      </c>
      <c r="D340" t="s">
        <v>44</v>
      </c>
      <c r="E340" t="s">
        <v>45</v>
      </c>
      <c r="F340">
        <v>0</v>
      </c>
      <c r="G340" t="s">
        <v>46</v>
      </c>
      <c r="H340" t="s">
        <v>47</v>
      </c>
      <c r="I340" t="s">
        <v>47</v>
      </c>
      <c r="J340">
        <v>0</v>
      </c>
      <c r="K340">
        <v>0</v>
      </c>
      <c r="L340">
        <v>6</v>
      </c>
      <c r="M340" t="s">
        <v>47</v>
      </c>
      <c r="N340" t="s">
        <v>45</v>
      </c>
      <c r="O340">
        <v>1</v>
      </c>
      <c r="P340">
        <v>11</v>
      </c>
    </row>
    <row r="341" spans="1:16" x14ac:dyDescent="0.4">
      <c r="A341" t="s">
        <v>390</v>
      </c>
      <c r="B341">
        <v>15</v>
      </c>
      <c r="C341" t="s">
        <v>56</v>
      </c>
      <c r="D341" t="s">
        <v>49</v>
      </c>
      <c r="E341" t="s">
        <v>47</v>
      </c>
      <c r="F341">
        <v>0</v>
      </c>
      <c r="G341" t="s">
        <v>50</v>
      </c>
      <c r="H341" t="s">
        <v>47</v>
      </c>
      <c r="I341" t="s">
        <v>47</v>
      </c>
      <c r="J341">
        <v>0.25</v>
      </c>
      <c r="K341">
        <v>0</v>
      </c>
      <c r="L341">
        <v>0</v>
      </c>
      <c r="M341" t="s">
        <v>47</v>
      </c>
      <c r="N341" t="s">
        <v>45</v>
      </c>
      <c r="O341">
        <v>2</v>
      </c>
      <c r="P341">
        <v>9</v>
      </c>
    </row>
    <row r="342" spans="1:16" x14ac:dyDescent="0.4">
      <c r="A342" t="s">
        <v>391</v>
      </c>
      <c r="B342">
        <v>17</v>
      </c>
      <c r="C342" t="s">
        <v>56</v>
      </c>
      <c r="D342" t="s">
        <v>44</v>
      </c>
      <c r="E342" t="s">
        <v>47</v>
      </c>
      <c r="F342">
        <v>0</v>
      </c>
      <c r="G342" t="s">
        <v>46</v>
      </c>
      <c r="H342" t="s">
        <v>47</v>
      </c>
      <c r="I342" t="s">
        <v>47</v>
      </c>
      <c r="J342">
        <v>1.5</v>
      </c>
      <c r="K342">
        <v>0</v>
      </c>
      <c r="L342">
        <v>8</v>
      </c>
      <c r="M342" t="s">
        <v>45</v>
      </c>
      <c r="N342" t="s">
        <v>47</v>
      </c>
      <c r="O342">
        <v>1</v>
      </c>
      <c r="P342">
        <v>11</v>
      </c>
    </row>
    <row r="343" spans="1:16" x14ac:dyDescent="0.4">
      <c r="A343" t="s">
        <v>392</v>
      </c>
      <c r="B343">
        <v>17</v>
      </c>
      <c r="C343" t="s">
        <v>56</v>
      </c>
      <c r="D343" t="s">
        <v>49</v>
      </c>
      <c r="E343" t="s">
        <v>45</v>
      </c>
      <c r="F343">
        <v>0</v>
      </c>
      <c r="G343" t="s">
        <v>46</v>
      </c>
      <c r="H343" t="s">
        <v>47</v>
      </c>
      <c r="I343" t="s">
        <v>47</v>
      </c>
      <c r="J343">
        <v>1.75</v>
      </c>
      <c r="K343">
        <v>0</v>
      </c>
      <c r="L343">
        <v>21</v>
      </c>
      <c r="M343" t="s">
        <v>45</v>
      </c>
      <c r="N343" t="s">
        <v>47</v>
      </c>
      <c r="O343">
        <v>1</v>
      </c>
      <c r="P343">
        <v>13</v>
      </c>
    </row>
    <row r="344" spans="1:16" x14ac:dyDescent="0.4">
      <c r="A344" t="s">
        <v>393</v>
      </c>
      <c r="B344">
        <v>17</v>
      </c>
      <c r="C344" t="s">
        <v>56</v>
      </c>
      <c r="D344" t="s">
        <v>44</v>
      </c>
      <c r="E344" t="s">
        <v>45</v>
      </c>
      <c r="F344">
        <v>0</v>
      </c>
      <c r="G344" t="s">
        <v>46</v>
      </c>
      <c r="H344" t="s">
        <v>47</v>
      </c>
      <c r="I344" t="s">
        <v>47</v>
      </c>
      <c r="J344">
        <v>7</v>
      </c>
      <c r="K344">
        <v>0</v>
      </c>
      <c r="L344">
        <v>8</v>
      </c>
      <c r="M344" t="s">
        <v>45</v>
      </c>
      <c r="N344" t="s">
        <v>45</v>
      </c>
      <c r="O344">
        <v>1</v>
      </c>
      <c r="P344">
        <v>15</v>
      </c>
    </row>
    <row r="345" spans="1:16" x14ac:dyDescent="0.4">
      <c r="A345" t="s">
        <v>394</v>
      </c>
      <c r="B345">
        <v>16</v>
      </c>
      <c r="C345" t="s">
        <v>43</v>
      </c>
      <c r="D345" t="s">
        <v>44</v>
      </c>
      <c r="E345" t="s">
        <v>45</v>
      </c>
      <c r="F345">
        <v>2</v>
      </c>
      <c r="G345" t="s">
        <v>46</v>
      </c>
      <c r="H345" t="s">
        <v>45</v>
      </c>
      <c r="I345" t="s">
        <v>47</v>
      </c>
      <c r="J345">
        <v>6.25</v>
      </c>
      <c r="K345">
        <v>0</v>
      </c>
      <c r="L345">
        <v>0</v>
      </c>
      <c r="M345" t="s">
        <v>45</v>
      </c>
      <c r="N345" t="s">
        <v>45</v>
      </c>
      <c r="O345">
        <v>1</v>
      </c>
      <c r="P345">
        <v>16</v>
      </c>
    </row>
    <row r="346" spans="1:16" x14ac:dyDescent="0.4">
      <c r="A346" t="s">
        <v>395</v>
      </c>
      <c r="B346">
        <v>18</v>
      </c>
      <c r="C346" t="s">
        <v>56</v>
      </c>
      <c r="D346" t="s">
        <v>49</v>
      </c>
      <c r="E346" t="s">
        <v>47</v>
      </c>
      <c r="F346">
        <v>1</v>
      </c>
      <c r="G346" t="s">
        <v>50</v>
      </c>
      <c r="H346" t="s">
        <v>45</v>
      </c>
      <c r="I346" t="s">
        <v>47</v>
      </c>
      <c r="J346">
        <v>4</v>
      </c>
      <c r="K346">
        <v>0</v>
      </c>
      <c r="L346">
        <v>0</v>
      </c>
      <c r="M346" t="s">
        <v>45</v>
      </c>
      <c r="N346" t="s">
        <v>45</v>
      </c>
      <c r="O346">
        <v>1</v>
      </c>
      <c r="P346">
        <v>0</v>
      </c>
    </row>
    <row r="347" spans="1:16" x14ac:dyDescent="0.4">
      <c r="A347" t="s">
        <v>396</v>
      </c>
      <c r="B347">
        <v>15</v>
      </c>
      <c r="C347" t="s">
        <v>56</v>
      </c>
      <c r="D347" t="s">
        <v>49</v>
      </c>
      <c r="E347" t="s">
        <v>45</v>
      </c>
      <c r="F347">
        <v>0</v>
      </c>
      <c r="G347" t="s">
        <v>50</v>
      </c>
      <c r="H347" t="s">
        <v>47</v>
      </c>
      <c r="I347" t="s">
        <v>47</v>
      </c>
      <c r="J347">
        <v>1.5</v>
      </c>
      <c r="K347">
        <v>1</v>
      </c>
      <c r="L347">
        <v>6</v>
      </c>
      <c r="M347" t="s">
        <v>45</v>
      </c>
      <c r="N347" t="s">
        <v>45</v>
      </c>
      <c r="O347">
        <v>1</v>
      </c>
      <c r="P347">
        <v>10</v>
      </c>
    </row>
    <row r="348" spans="1:16" x14ac:dyDescent="0.4">
      <c r="A348" t="s">
        <v>397</v>
      </c>
      <c r="B348">
        <v>18</v>
      </c>
      <c r="C348" t="s">
        <v>56</v>
      </c>
      <c r="D348" t="s">
        <v>44</v>
      </c>
      <c r="E348" t="s">
        <v>47</v>
      </c>
      <c r="F348">
        <v>0</v>
      </c>
      <c r="G348" t="s">
        <v>50</v>
      </c>
      <c r="H348" t="s">
        <v>47</v>
      </c>
      <c r="I348" t="s">
        <v>45</v>
      </c>
      <c r="J348">
        <v>4.25</v>
      </c>
      <c r="K348">
        <v>0</v>
      </c>
      <c r="L348">
        <v>8</v>
      </c>
      <c r="M348" t="s">
        <v>45</v>
      </c>
      <c r="N348" t="s">
        <v>47</v>
      </c>
      <c r="O348">
        <v>2</v>
      </c>
      <c r="P348">
        <v>10</v>
      </c>
    </row>
    <row r="349" spans="1:16" x14ac:dyDescent="0.4">
      <c r="A349" t="s">
        <v>398</v>
      </c>
      <c r="B349">
        <v>16</v>
      </c>
      <c r="C349" t="s">
        <v>56</v>
      </c>
      <c r="D349" t="s">
        <v>49</v>
      </c>
      <c r="E349" t="s">
        <v>45</v>
      </c>
      <c r="F349">
        <v>0</v>
      </c>
      <c r="G349" t="s">
        <v>50</v>
      </c>
      <c r="H349" t="s">
        <v>47</v>
      </c>
      <c r="I349" t="s">
        <v>45</v>
      </c>
      <c r="J349">
        <v>6.75</v>
      </c>
      <c r="K349">
        <v>0</v>
      </c>
      <c r="L349">
        <v>2</v>
      </c>
      <c r="M349" t="s">
        <v>45</v>
      </c>
      <c r="N349" t="s">
        <v>47</v>
      </c>
      <c r="O349">
        <v>1</v>
      </c>
      <c r="P349">
        <v>10</v>
      </c>
    </row>
    <row r="350" spans="1:16" x14ac:dyDescent="0.4">
      <c r="A350" t="s">
        <v>399</v>
      </c>
      <c r="B350">
        <v>17</v>
      </c>
      <c r="C350" t="s">
        <v>43</v>
      </c>
      <c r="D350" t="s">
        <v>44</v>
      </c>
      <c r="E350" t="s">
        <v>45</v>
      </c>
      <c r="F350">
        <v>0</v>
      </c>
      <c r="G350" t="s">
        <v>46</v>
      </c>
      <c r="H350" t="s">
        <v>47</v>
      </c>
      <c r="I350" t="s">
        <v>47</v>
      </c>
      <c r="J350">
        <v>0.25</v>
      </c>
      <c r="K350">
        <v>0</v>
      </c>
      <c r="L350">
        <v>8</v>
      </c>
      <c r="M350" t="s">
        <v>47</v>
      </c>
      <c r="N350" t="s">
        <v>47</v>
      </c>
      <c r="O350">
        <v>2</v>
      </c>
      <c r="P350">
        <v>9</v>
      </c>
    </row>
    <row r="351" spans="1:16" x14ac:dyDescent="0.4">
      <c r="A351" t="s">
        <v>400</v>
      </c>
      <c r="B351">
        <v>16</v>
      </c>
      <c r="C351" t="s">
        <v>43</v>
      </c>
      <c r="D351" t="s">
        <v>44</v>
      </c>
      <c r="E351" t="s">
        <v>47</v>
      </c>
      <c r="F351">
        <v>0</v>
      </c>
      <c r="G351" t="s">
        <v>50</v>
      </c>
      <c r="H351" t="s">
        <v>45</v>
      </c>
      <c r="I351" t="s">
        <v>47</v>
      </c>
      <c r="J351">
        <v>1.5</v>
      </c>
      <c r="K351">
        <v>0</v>
      </c>
      <c r="L351">
        <v>4</v>
      </c>
      <c r="M351" t="s">
        <v>45</v>
      </c>
      <c r="N351" t="s">
        <v>47</v>
      </c>
      <c r="O351">
        <v>2</v>
      </c>
      <c r="P351">
        <v>10</v>
      </c>
    </row>
    <row r="352" spans="1:16" x14ac:dyDescent="0.4">
      <c r="A352" t="s">
        <v>401</v>
      </c>
      <c r="B352">
        <v>18</v>
      </c>
      <c r="C352" t="s">
        <v>56</v>
      </c>
      <c r="D352" t="s">
        <v>44</v>
      </c>
      <c r="E352" t="s">
        <v>45</v>
      </c>
      <c r="F352">
        <v>0</v>
      </c>
      <c r="G352" t="s">
        <v>46</v>
      </c>
      <c r="H352" t="s">
        <v>45</v>
      </c>
      <c r="I352" t="s">
        <v>47</v>
      </c>
      <c r="J352">
        <v>4.5</v>
      </c>
      <c r="K352">
        <v>0</v>
      </c>
      <c r="L352">
        <v>2</v>
      </c>
      <c r="M352" t="s">
        <v>45</v>
      </c>
      <c r="N352" t="s">
        <v>45</v>
      </c>
      <c r="O352">
        <v>1</v>
      </c>
      <c r="P352">
        <v>10</v>
      </c>
    </row>
    <row r="353" spans="1:16" x14ac:dyDescent="0.4">
      <c r="A353" t="s">
        <v>402</v>
      </c>
      <c r="B353">
        <v>21</v>
      </c>
      <c r="C353" t="s">
        <v>56</v>
      </c>
      <c r="D353" t="s">
        <v>44</v>
      </c>
      <c r="E353" t="s">
        <v>47</v>
      </c>
      <c r="F353">
        <v>2</v>
      </c>
      <c r="G353" t="s">
        <v>46</v>
      </c>
      <c r="H353" t="s">
        <v>45</v>
      </c>
      <c r="I353" t="s">
        <v>47</v>
      </c>
      <c r="J353">
        <v>9.75</v>
      </c>
      <c r="K353">
        <v>2</v>
      </c>
      <c r="L353">
        <v>0</v>
      </c>
      <c r="M353" t="s">
        <v>45</v>
      </c>
      <c r="N353" t="s">
        <v>47</v>
      </c>
      <c r="O353">
        <v>1</v>
      </c>
      <c r="P353">
        <v>12</v>
      </c>
    </row>
    <row r="354" spans="1:16" x14ac:dyDescent="0.4">
      <c r="A354" t="s">
        <v>403</v>
      </c>
      <c r="B354">
        <v>16</v>
      </c>
      <c r="C354" t="s">
        <v>56</v>
      </c>
      <c r="D354" t="s">
        <v>44</v>
      </c>
      <c r="E354" t="s">
        <v>45</v>
      </c>
      <c r="F354">
        <v>0</v>
      </c>
      <c r="G354" t="s">
        <v>46</v>
      </c>
      <c r="H354" t="s">
        <v>45</v>
      </c>
      <c r="I354" t="s">
        <v>45</v>
      </c>
      <c r="J354">
        <v>4</v>
      </c>
      <c r="K354">
        <v>0</v>
      </c>
      <c r="L354">
        <v>4</v>
      </c>
      <c r="M354" t="s">
        <v>45</v>
      </c>
      <c r="N354" t="s">
        <v>47</v>
      </c>
      <c r="O354">
        <v>2</v>
      </c>
      <c r="P354">
        <v>12</v>
      </c>
    </row>
    <row r="355" spans="1:16" x14ac:dyDescent="0.4">
      <c r="A355" t="s">
        <v>404</v>
      </c>
      <c r="B355">
        <v>17</v>
      </c>
      <c r="C355" t="s">
        <v>43</v>
      </c>
      <c r="D355" t="s">
        <v>49</v>
      </c>
      <c r="E355" t="s">
        <v>45</v>
      </c>
      <c r="F355">
        <v>0</v>
      </c>
      <c r="G355" t="s">
        <v>46</v>
      </c>
      <c r="H355" t="s">
        <v>47</v>
      </c>
      <c r="I355" t="s">
        <v>47</v>
      </c>
      <c r="J355">
        <v>1.75</v>
      </c>
      <c r="K355">
        <v>0</v>
      </c>
      <c r="L355">
        <v>2</v>
      </c>
      <c r="M355" t="s">
        <v>45</v>
      </c>
      <c r="N355" t="s">
        <v>47</v>
      </c>
      <c r="O355">
        <v>5</v>
      </c>
      <c r="P355">
        <v>10</v>
      </c>
    </row>
    <row r="356" spans="1:16" x14ac:dyDescent="0.4">
      <c r="A356" t="s">
        <v>405</v>
      </c>
      <c r="B356">
        <v>17</v>
      </c>
      <c r="C356" t="s">
        <v>43</v>
      </c>
      <c r="D356" t="s">
        <v>44</v>
      </c>
      <c r="E356" t="s">
        <v>45</v>
      </c>
      <c r="F356">
        <v>0</v>
      </c>
      <c r="G356" t="s">
        <v>46</v>
      </c>
      <c r="H356" t="s">
        <v>45</v>
      </c>
      <c r="I356" t="s">
        <v>45</v>
      </c>
      <c r="J356">
        <v>1.25</v>
      </c>
      <c r="K356">
        <v>3</v>
      </c>
      <c r="L356">
        <v>0</v>
      </c>
      <c r="M356" t="s">
        <v>47</v>
      </c>
      <c r="N356" t="s">
        <v>47</v>
      </c>
      <c r="O356">
        <v>1</v>
      </c>
      <c r="P356">
        <v>10</v>
      </c>
    </row>
    <row r="357" spans="1:16" x14ac:dyDescent="0.4">
      <c r="A357" t="s">
        <v>406</v>
      </c>
      <c r="B357">
        <v>18</v>
      </c>
      <c r="C357" t="s">
        <v>43</v>
      </c>
      <c r="D357" t="s">
        <v>44</v>
      </c>
      <c r="E357" t="s">
        <v>45</v>
      </c>
      <c r="F357">
        <v>2</v>
      </c>
      <c r="G357" t="s">
        <v>46</v>
      </c>
      <c r="H357" t="s">
        <v>45</v>
      </c>
      <c r="I357" t="s">
        <v>47</v>
      </c>
      <c r="J357">
        <v>1</v>
      </c>
      <c r="K357">
        <v>0</v>
      </c>
      <c r="L357">
        <v>6</v>
      </c>
      <c r="M357" t="s">
        <v>45</v>
      </c>
      <c r="N357" t="s">
        <v>47</v>
      </c>
      <c r="O357">
        <v>2</v>
      </c>
      <c r="P357">
        <v>12</v>
      </c>
    </row>
    <row r="358" spans="1:16" x14ac:dyDescent="0.4">
      <c r="A358" t="s">
        <v>407</v>
      </c>
      <c r="B358">
        <v>19</v>
      </c>
      <c r="C358" t="s">
        <v>43</v>
      </c>
      <c r="D358" t="s">
        <v>49</v>
      </c>
      <c r="E358" t="s">
        <v>45</v>
      </c>
      <c r="F358">
        <v>0</v>
      </c>
      <c r="G358" t="s">
        <v>50</v>
      </c>
      <c r="H358" t="s">
        <v>47</v>
      </c>
      <c r="I358" t="s">
        <v>47</v>
      </c>
      <c r="J358">
        <v>4.75</v>
      </c>
      <c r="K358">
        <v>1</v>
      </c>
      <c r="L358">
        <v>8</v>
      </c>
      <c r="M358" t="s">
        <v>45</v>
      </c>
      <c r="N358" t="s">
        <v>47</v>
      </c>
      <c r="O358">
        <v>3</v>
      </c>
      <c r="P358">
        <v>11</v>
      </c>
    </row>
    <row r="359" spans="1:16" x14ac:dyDescent="0.4">
      <c r="A359" t="s">
        <v>408</v>
      </c>
      <c r="B359">
        <v>20</v>
      </c>
      <c r="C359" t="s">
        <v>43</v>
      </c>
      <c r="D359" t="s">
        <v>49</v>
      </c>
      <c r="E359" t="s">
        <v>45</v>
      </c>
      <c r="F359">
        <v>0</v>
      </c>
      <c r="G359" t="s">
        <v>50</v>
      </c>
      <c r="H359" t="s">
        <v>47</v>
      </c>
      <c r="I359" t="s">
        <v>47</v>
      </c>
      <c r="J359">
        <v>1.25</v>
      </c>
      <c r="K359">
        <v>1</v>
      </c>
      <c r="L359">
        <v>12</v>
      </c>
      <c r="M359" t="s">
        <v>47</v>
      </c>
      <c r="N359" t="s">
        <v>45</v>
      </c>
      <c r="O359">
        <v>3</v>
      </c>
      <c r="P359">
        <v>10</v>
      </c>
    </row>
    <row r="360" spans="1:16" x14ac:dyDescent="0.4">
      <c r="A360" t="s">
        <v>409</v>
      </c>
      <c r="B360">
        <v>19</v>
      </c>
      <c r="C360" t="s">
        <v>56</v>
      </c>
      <c r="D360" t="s">
        <v>49</v>
      </c>
      <c r="E360" t="s">
        <v>45</v>
      </c>
      <c r="F360">
        <v>0</v>
      </c>
      <c r="G360" t="s">
        <v>46</v>
      </c>
      <c r="H360" t="s">
        <v>47</v>
      </c>
      <c r="I360" t="s">
        <v>45</v>
      </c>
      <c r="J360">
        <v>4.25</v>
      </c>
      <c r="K360">
        <v>1</v>
      </c>
      <c r="L360">
        <v>0</v>
      </c>
      <c r="M360" t="s">
        <v>47</v>
      </c>
      <c r="N360" t="s">
        <v>47</v>
      </c>
      <c r="O360">
        <v>4</v>
      </c>
      <c r="P360">
        <v>10</v>
      </c>
    </row>
    <row r="361" spans="1:16" x14ac:dyDescent="0.4">
      <c r="A361" t="s">
        <v>410</v>
      </c>
      <c r="B361">
        <v>18</v>
      </c>
      <c r="C361" t="s">
        <v>56</v>
      </c>
      <c r="D361" t="s">
        <v>49</v>
      </c>
      <c r="E361" t="s">
        <v>45</v>
      </c>
      <c r="F361">
        <v>0</v>
      </c>
      <c r="G361" t="s">
        <v>46</v>
      </c>
      <c r="H361" t="s">
        <v>47</v>
      </c>
      <c r="I361" t="s">
        <v>45</v>
      </c>
      <c r="J361">
        <v>4.75</v>
      </c>
      <c r="K361">
        <v>0</v>
      </c>
      <c r="L361">
        <v>4</v>
      </c>
      <c r="M361" t="s">
        <v>45</v>
      </c>
      <c r="N361" t="s">
        <v>47</v>
      </c>
      <c r="O361">
        <v>1</v>
      </c>
      <c r="P361">
        <v>13</v>
      </c>
    </row>
    <row r="362" spans="1:16" x14ac:dyDescent="0.4">
      <c r="A362" t="s">
        <v>411</v>
      </c>
      <c r="B362">
        <v>15</v>
      </c>
      <c r="C362" t="s">
        <v>56</v>
      </c>
      <c r="D362" t="s">
        <v>44</v>
      </c>
      <c r="E362" t="s">
        <v>45</v>
      </c>
      <c r="F362">
        <v>0</v>
      </c>
      <c r="G362" t="s">
        <v>46</v>
      </c>
      <c r="H362" t="s">
        <v>45</v>
      </c>
      <c r="I362" t="s">
        <v>47</v>
      </c>
      <c r="J362">
        <v>1.5</v>
      </c>
      <c r="K362">
        <v>0</v>
      </c>
      <c r="L362">
        <v>6</v>
      </c>
      <c r="M362" t="s">
        <v>45</v>
      </c>
      <c r="N362" t="s">
        <v>45</v>
      </c>
      <c r="O362">
        <v>1</v>
      </c>
      <c r="P362">
        <v>13</v>
      </c>
    </row>
    <row r="363" spans="1:16" x14ac:dyDescent="0.4">
      <c r="A363" t="s">
        <v>412</v>
      </c>
      <c r="B363">
        <v>17</v>
      </c>
      <c r="C363" t="s">
        <v>43</v>
      </c>
      <c r="D363" t="s">
        <v>49</v>
      </c>
      <c r="E363" t="s">
        <v>45</v>
      </c>
      <c r="F363">
        <v>0</v>
      </c>
      <c r="G363" t="s">
        <v>46</v>
      </c>
      <c r="H363" t="s">
        <v>47</v>
      </c>
      <c r="I363" t="s">
        <v>47</v>
      </c>
      <c r="J363">
        <v>8</v>
      </c>
      <c r="K363">
        <v>0</v>
      </c>
      <c r="L363">
        <v>2</v>
      </c>
      <c r="M363" t="s">
        <v>45</v>
      </c>
      <c r="N363" t="s">
        <v>45</v>
      </c>
      <c r="O363">
        <v>1</v>
      </c>
      <c r="P363">
        <v>15</v>
      </c>
    </row>
    <row r="364" spans="1:16" x14ac:dyDescent="0.4">
      <c r="A364" t="s">
        <v>413</v>
      </c>
      <c r="B364">
        <v>18</v>
      </c>
      <c r="C364" t="s">
        <v>56</v>
      </c>
      <c r="D364" t="s">
        <v>44</v>
      </c>
      <c r="E364" t="s">
        <v>47</v>
      </c>
      <c r="F364">
        <v>0</v>
      </c>
      <c r="G364" t="s">
        <v>46</v>
      </c>
      <c r="H364" t="s">
        <v>47</v>
      </c>
      <c r="I364" t="s">
        <v>47</v>
      </c>
      <c r="J364">
        <v>3.75</v>
      </c>
      <c r="K364">
        <v>1</v>
      </c>
      <c r="L364">
        <v>16</v>
      </c>
      <c r="M364" t="s">
        <v>45</v>
      </c>
      <c r="N364" t="s">
        <v>45</v>
      </c>
      <c r="O364">
        <v>1</v>
      </c>
      <c r="P364">
        <v>10</v>
      </c>
    </row>
    <row r="365" spans="1:16" x14ac:dyDescent="0.4">
      <c r="A365" t="s">
        <v>414</v>
      </c>
      <c r="B365">
        <v>16</v>
      </c>
      <c r="C365" t="s">
        <v>43</v>
      </c>
      <c r="D365" t="s">
        <v>44</v>
      </c>
      <c r="E365" t="s">
        <v>47</v>
      </c>
      <c r="F365">
        <v>1</v>
      </c>
      <c r="G365" t="s">
        <v>46</v>
      </c>
      <c r="H365" t="s">
        <v>45</v>
      </c>
      <c r="I365" t="s">
        <v>47</v>
      </c>
      <c r="J365">
        <v>2.25</v>
      </c>
      <c r="K365">
        <v>0</v>
      </c>
      <c r="L365">
        <v>6</v>
      </c>
      <c r="M365" t="s">
        <v>45</v>
      </c>
      <c r="N365" t="s">
        <v>47</v>
      </c>
      <c r="O365">
        <v>1</v>
      </c>
      <c r="P365">
        <v>13</v>
      </c>
    </row>
    <row r="366" spans="1:16" x14ac:dyDescent="0.4">
      <c r="A366" t="s">
        <v>415</v>
      </c>
      <c r="B366">
        <v>15</v>
      </c>
      <c r="C366" t="s">
        <v>43</v>
      </c>
      <c r="D366" t="s">
        <v>49</v>
      </c>
      <c r="E366" t="s">
        <v>45</v>
      </c>
      <c r="F366">
        <v>0</v>
      </c>
      <c r="G366" t="s">
        <v>50</v>
      </c>
      <c r="H366" t="s">
        <v>45</v>
      </c>
      <c r="I366" t="s">
        <v>47</v>
      </c>
      <c r="J366">
        <v>3.25</v>
      </c>
      <c r="K366">
        <v>0</v>
      </c>
      <c r="L366">
        <v>8</v>
      </c>
      <c r="M366" t="s">
        <v>45</v>
      </c>
      <c r="N366" t="s">
        <v>45</v>
      </c>
      <c r="O366">
        <v>3</v>
      </c>
      <c r="P366">
        <v>9</v>
      </c>
    </row>
    <row r="367" spans="1:16" x14ac:dyDescent="0.4">
      <c r="A367" t="s">
        <v>416</v>
      </c>
      <c r="B367">
        <v>18</v>
      </c>
      <c r="C367" t="s">
        <v>56</v>
      </c>
      <c r="D367" t="s">
        <v>44</v>
      </c>
      <c r="E367" t="s">
        <v>45</v>
      </c>
      <c r="F367">
        <v>0</v>
      </c>
      <c r="G367" t="s">
        <v>50</v>
      </c>
      <c r="H367" t="s">
        <v>47</v>
      </c>
      <c r="I367" t="s">
        <v>47</v>
      </c>
      <c r="J367">
        <v>4.25</v>
      </c>
      <c r="K367">
        <v>0</v>
      </c>
      <c r="L367">
        <v>6</v>
      </c>
      <c r="M367" t="s">
        <v>45</v>
      </c>
      <c r="N367" t="s">
        <v>45</v>
      </c>
      <c r="O367">
        <v>2</v>
      </c>
      <c r="P367">
        <v>13</v>
      </c>
    </row>
    <row r="368" spans="1:16" x14ac:dyDescent="0.4">
      <c r="A368" t="s">
        <v>417</v>
      </c>
      <c r="B368">
        <v>17</v>
      </c>
      <c r="C368" t="s">
        <v>43</v>
      </c>
      <c r="D368" t="s">
        <v>49</v>
      </c>
      <c r="E368" t="s">
        <v>45</v>
      </c>
      <c r="F368">
        <v>0</v>
      </c>
      <c r="G368" t="s">
        <v>46</v>
      </c>
      <c r="H368" t="s">
        <v>47</v>
      </c>
      <c r="I368" t="s">
        <v>47</v>
      </c>
      <c r="J368">
        <v>0.25</v>
      </c>
      <c r="K368">
        <v>0</v>
      </c>
      <c r="L368">
        <v>0</v>
      </c>
      <c r="M368" t="s">
        <v>47</v>
      </c>
      <c r="N368" t="s">
        <v>47</v>
      </c>
      <c r="O368">
        <v>1</v>
      </c>
      <c r="P368">
        <v>10</v>
      </c>
    </row>
    <row r="369" spans="1:16" x14ac:dyDescent="0.4">
      <c r="A369" t="s">
        <v>418</v>
      </c>
      <c r="B369">
        <v>16</v>
      </c>
      <c r="C369" t="s">
        <v>56</v>
      </c>
      <c r="D369" t="s">
        <v>49</v>
      </c>
      <c r="E369" t="s">
        <v>45</v>
      </c>
      <c r="F369">
        <v>2</v>
      </c>
      <c r="G369" t="s">
        <v>46</v>
      </c>
      <c r="H369" t="s">
        <v>45</v>
      </c>
      <c r="I369" t="s">
        <v>47</v>
      </c>
      <c r="J369">
        <v>2.25</v>
      </c>
      <c r="K369">
        <v>0</v>
      </c>
      <c r="L369">
        <v>0</v>
      </c>
      <c r="M369" t="s">
        <v>45</v>
      </c>
      <c r="N369" t="s">
        <v>47</v>
      </c>
      <c r="O369">
        <v>2</v>
      </c>
      <c r="P369">
        <v>16</v>
      </c>
    </row>
    <row r="370" spans="1:16" x14ac:dyDescent="0.4">
      <c r="A370" t="s">
        <v>419</v>
      </c>
      <c r="B370">
        <v>17</v>
      </c>
      <c r="C370" t="s">
        <v>43</v>
      </c>
      <c r="D370" t="s">
        <v>44</v>
      </c>
      <c r="E370" t="s">
        <v>47</v>
      </c>
      <c r="F370">
        <v>1</v>
      </c>
      <c r="G370" t="s">
        <v>46</v>
      </c>
      <c r="H370" t="s">
        <v>45</v>
      </c>
      <c r="I370" t="s">
        <v>47</v>
      </c>
      <c r="J370">
        <v>0.75</v>
      </c>
      <c r="K370">
        <v>0</v>
      </c>
      <c r="L370">
        <v>22</v>
      </c>
      <c r="M370" t="s">
        <v>45</v>
      </c>
      <c r="N370" t="s">
        <v>45</v>
      </c>
      <c r="O370">
        <v>3</v>
      </c>
      <c r="P370">
        <v>10</v>
      </c>
    </row>
    <row r="371" spans="1:16" x14ac:dyDescent="0.4">
      <c r="A371" t="s">
        <v>420</v>
      </c>
      <c r="B371">
        <v>17</v>
      </c>
      <c r="C371" t="s">
        <v>56</v>
      </c>
      <c r="D371" t="s">
        <v>44</v>
      </c>
      <c r="E371" t="s">
        <v>47</v>
      </c>
      <c r="F371">
        <v>1</v>
      </c>
      <c r="G371" t="s">
        <v>46</v>
      </c>
      <c r="H371" t="s">
        <v>45</v>
      </c>
      <c r="I371" t="s">
        <v>47</v>
      </c>
      <c r="J371">
        <v>4.25</v>
      </c>
      <c r="K371">
        <v>0</v>
      </c>
      <c r="L371">
        <v>4</v>
      </c>
      <c r="M371" t="s">
        <v>45</v>
      </c>
      <c r="N371" t="s">
        <v>47</v>
      </c>
      <c r="O371">
        <v>1</v>
      </c>
      <c r="P371">
        <v>14</v>
      </c>
    </row>
    <row r="372" spans="1:16" x14ac:dyDescent="0.4">
      <c r="A372" t="s">
        <v>421</v>
      </c>
      <c r="B372">
        <v>18</v>
      </c>
      <c r="C372" t="s">
        <v>56</v>
      </c>
      <c r="D372" t="s">
        <v>44</v>
      </c>
      <c r="E372" t="s">
        <v>47</v>
      </c>
      <c r="F372">
        <v>2</v>
      </c>
      <c r="G372" t="s">
        <v>46</v>
      </c>
      <c r="H372" t="s">
        <v>47</v>
      </c>
      <c r="I372" t="s">
        <v>47</v>
      </c>
      <c r="J372">
        <v>3.25</v>
      </c>
      <c r="K372">
        <v>0</v>
      </c>
      <c r="L372">
        <v>0</v>
      </c>
      <c r="M372" t="s">
        <v>45</v>
      </c>
      <c r="N372" t="s">
        <v>45</v>
      </c>
      <c r="O372">
        <v>1</v>
      </c>
      <c r="P372">
        <v>15</v>
      </c>
    </row>
    <row r="373" spans="1:16" x14ac:dyDescent="0.4">
      <c r="A373" t="s">
        <v>422</v>
      </c>
      <c r="B373">
        <v>18</v>
      </c>
      <c r="C373" t="s">
        <v>43</v>
      </c>
      <c r="D373" t="s">
        <v>49</v>
      </c>
      <c r="E373" t="s">
        <v>45</v>
      </c>
      <c r="F373">
        <v>0</v>
      </c>
      <c r="G373" t="s">
        <v>50</v>
      </c>
      <c r="H373" t="s">
        <v>45</v>
      </c>
      <c r="I373" t="s">
        <v>47</v>
      </c>
      <c r="J373">
        <v>1.25</v>
      </c>
      <c r="K373">
        <v>0</v>
      </c>
      <c r="L373">
        <v>0</v>
      </c>
      <c r="M373" t="s">
        <v>45</v>
      </c>
      <c r="N373" t="s">
        <v>45</v>
      </c>
      <c r="O373">
        <v>2</v>
      </c>
      <c r="P373">
        <v>0</v>
      </c>
    </row>
    <row r="374" spans="1:16" x14ac:dyDescent="0.4">
      <c r="A374" t="s">
        <v>423</v>
      </c>
      <c r="B374">
        <v>16</v>
      </c>
      <c r="C374" t="s">
        <v>43</v>
      </c>
      <c r="D374" t="s">
        <v>44</v>
      </c>
      <c r="E374" t="s">
        <v>47</v>
      </c>
      <c r="F374">
        <v>0</v>
      </c>
      <c r="G374" t="s">
        <v>46</v>
      </c>
      <c r="H374" t="s">
        <v>47</v>
      </c>
      <c r="I374" t="s">
        <v>47</v>
      </c>
      <c r="J374">
        <v>0.5</v>
      </c>
      <c r="K374">
        <v>2</v>
      </c>
      <c r="L374">
        <v>0</v>
      </c>
      <c r="M374" t="s">
        <v>45</v>
      </c>
      <c r="N374" t="s">
        <v>47</v>
      </c>
      <c r="O374">
        <v>4</v>
      </c>
      <c r="P374">
        <v>10</v>
      </c>
    </row>
    <row r="375" spans="1:16" x14ac:dyDescent="0.4">
      <c r="A375" t="s">
        <v>424</v>
      </c>
      <c r="B375">
        <v>16</v>
      </c>
      <c r="C375" t="s">
        <v>56</v>
      </c>
      <c r="D375" t="s">
        <v>44</v>
      </c>
      <c r="E375" t="s">
        <v>45</v>
      </c>
      <c r="F375">
        <v>1</v>
      </c>
      <c r="G375" t="s">
        <v>46</v>
      </c>
      <c r="H375" t="s">
        <v>45</v>
      </c>
      <c r="I375" t="s">
        <v>47</v>
      </c>
      <c r="J375">
        <v>4</v>
      </c>
      <c r="K375">
        <v>0</v>
      </c>
      <c r="L375">
        <v>0</v>
      </c>
      <c r="M375" t="s">
        <v>45</v>
      </c>
      <c r="N375" t="s">
        <v>45</v>
      </c>
      <c r="O375">
        <v>1</v>
      </c>
      <c r="P375">
        <v>13</v>
      </c>
    </row>
    <row r="376" spans="1:16" x14ac:dyDescent="0.4">
      <c r="A376" t="s">
        <v>425</v>
      </c>
      <c r="B376">
        <v>15</v>
      </c>
      <c r="C376" t="s">
        <v>43</v>
      </c>
      <c r="D376" t="s">
        <v>44</v>
      </c>
      <c r="E376" t="s">
        <v>47</v>
      </c>
      <c r="F376">
        <v>0</v>
      </c>
      <c r="G376" t="s">
        <v>46</v>
      </c>
      <c r="H376" t="s">
        <v>47</v>
      </c>
      <c r="I376" t="s">
        <v>47</v>
      </c>
      <c r="J376">
        <v>0.25</v>
      </c>
      <c r="K376">
        <v>0</v>
      </c>
      <c r="L376">
        <v>0</v>
      </c>
      <c r="M376" t="s">
        <v>45</v>
      </c>
      <c r="N376" t="s">
        <v>47</v>
      </c>
      <c r="O376">
        <v>3</v>
      </c>
      <c r="P376">
        <v>11</v>
      </c>
    </row>
    <row r="377" spans="1:16" x14ac:dyDescent="0.4">
      <c r="A377" t="s">
        <v>426</v>
      </c>
      <c r="B377">
        <v>16</v>
      </c>
      <c r="C377" t="s">
        <v>43</v>
      </c>
      <c r="D377" t="s">
        <v>44</v>
      </c>
      <c r="E377" t="s">
        <v>45</v>
      </c>
      <c r="F377">
        <v>0</v>
      </c>
      <c r="G377" t="s">
        <v>46</v>
      </c>
      <c r="H377" t="s">
        <v>45</v>
      </c>
      <c r="I377" t="s">
        <v>47</v>
      </c>
      <c r="J377">
        <v>4</v>
      </c>
      <c r="K377">
        <v>0</v>
      </c>
      <c r="L377">
        <v>6</v>
      </c>
      <c r="M377" t="s">
        <v>45</v>
      </c>
      <c r="N377" t="s">
        <v>47</v>
      </c>
      <c r="O377">
        <v>1</v>
      </c>
      <c r="P377">
        <v>11</v>
      </c>
    </row>
    <row r="378" spans="1:16" x14ac:dyDescent="0.4">
      <c r="A378" t="s">
        <v>427</v>
      </c>
      <c r="B378">
        <v>16</v>
      </c>
      <c r="C378" t="s">
        <v>56</v>
      </c>
      <c r="D378" t="s">
        <v>49</v>
      </c>
      <c r="E378" t="s">
        <v>47</v>
      </c>
      <c r="F378">
        <v>0</v>
      </c>
      <c r="G378" t="s">
        <v>50</v>
      </c>
      <c r="H378" t="s">
        <v>47</v>
      </c>
      <c r="I378" t="s">
        <v>47</v>
      </c>
      <c r="J378">
        <v>0</v>
      </c>
      <c r="K378">
        <v>0</v>
      </c>
      <c r="L378">
        <v>2</v>
      </c>
      <c r="M378" t="s">
        <v>45</v>
      </c>
      <c r="N378" t="s">
        <v>45</v>
      </c>
      <c r="O378">
        <v>1</v>
      </c>
      <c r="P378">
        <v>8</v>
      </c>
    </row>
    <row r="379" spans="1:16" x14ac:dyDescent="0.4">
      <c r="A379" t="s">
        <v>428</v>
      </c>
      <c r="B379">
        <v>15</v>
      </c>
      <c r="C379" t="s">
        <v>56</v>
      </c>
      <c r="D379" t="s">
        <v>49</v>
      </c>
      <c r="E379" t="s">
        <v>45</v>
      </c>
      <c r="F379">
        <v>0</v>
      </c>
      <c r="G379" t="s">
        <v>50</v>
      </c>
      <c r="H379" t="s">
        <v>47</v>
      </c>
      <c r="I379" t="s">
        <v>47</v>
      </c>
      <c r="J379">
        <v>1.75</v>
      </c>
      <c r="K379">
        <v>0</v>
      </c>
      <c r="L379">
        <v>3</v>
      </c>
      <c r="M379" t="s">
        <v>45</v>
      </c>
      <c r="N379" t="s">
        <v>47</v>
      </c>
      <c r="O379">
        <v>1</v>
      </c>
      <c r="P379">
        <v>13</v>
      </c>
    </row>
    <row r="380" spans="1:16" x14ac:dyDescent="0.4">
      <c r="A380" t="s">
        <v>429</v>
      </c>
      <c r="B380">
        <v>17</v>
      </c>
      <c r="C380" t="s">
        <v>56</v>
      </c>
      <c r="D380" t="s">
        <v>44</v>
      </c>
      <c r="E380" t="s">
        <v>45</v>
      </c>
      <c r="F380">
        <v>0</v>
      </c>
      <c r="G380" t="s">
        <v>50</v>
      </c>
      <c r="H380" t="s">
        <v>45</v>
      </c>
      <c r="I380" t="s">
        <v>47</v>
      </c>
      <c r="J380">
        <v>3</v>
      </c>
      <c r="K380">
        <v>0</v>
      </c>
      <c r="L380">
        <v>2</v>
      </c>
      <c r="M380" t="s">
        <v>45</v>
      </c>
      <c r="N380" t="s">
        <v>45</v>
      </c>
      <c r="O380">
        <v>1</v>
      </c>
      <c r="P380">
        <v>11</v>
      </c>
    </row>
    <row r="381" spans="1:16" x14ac:dyDescent="0.4">
      <c r="A381" t="s">
        <v>430</v>
      </c>
      <c r="B381">
        <v>17</v>
      </c>
      <c r="C381" t="s">
        <v>43</v>
      </c>
      <c r="D381" t="s">
        <v>49</v>
      </c>
      <c r="E381" t="s">
        <v>45</v>
      </c>
      <c r="F381">
        <v>1</v>
      </c>
      <c r="G381" t="s">
        <v>46</v>
      </c>
      <c r="H381" t="s">
        <v>47</v>
      </c>
      <c r="I381" t="s">
        <v>47</v>
      </c>
      <c r="J381">
        <v>2</v>
      </c>
      <c r="K381">
        <v>0</v>
      </c>
      <c r="L381">
        <v>2</v>
      </c>
      <c r="M381" t="s">
        <v>45</v>
      </c>
      <c r="N381" t="s">
        <v>47</v>
      </c>
      <c r="O381">
        <v>3</v>
      </c>
      <c r="P381">
        <v>10</v>
      </c>
    </row>
    <row r="382" spans="1:16" x14ac:dyDescent="0.4">
      <c r="A382" t="s">
        <v>431</v>
      </c>
      <c r="B382">
        <v>17</v>
      </c>
      <c r="C382" t="s">
        <v>43</v>
      </c>
      <c r="D382" t="s">
        <v>44</v>
      </c>
      <c r="E382" t="s">
        <v>45</v>
      </c>
      <c r="F382">
        <v>0</v>
      </c>
      <c r="G382" t="s">
        <v>46</v>
      </c>
      <c r="H382" t="s">
        <v>45</v>
      </c>
      <c r="I382" t="s">
        <v>47</v>
      </c>
      <c r="J382">
        <v>2.25</v>
      </c>
      <c r="K382">
        <v>0</v>
      </c>
      <c r="L382">
        <v>4</v>
      </c>
      <c r="M382" t="s">
        <v>45</v>
      </c>
      <c r="N382" t="s">
        <v>47</v>
      </c>
      <c r="O382">
        <v>2</v>
      </c>
      <c r="P382">
        <v>10</v>
      </c>
    </row>
    <row r="383" spans="1:16" x14ac:dyDescent="0.4">
      <c r="A383" t="s">
        <v>432</v>
      </c>
      <c r="B383">
        <v>18</v>
      </c>
      <c r="C383" t="s">
        <v>56</v>
      </c>
      <c r="D383" t="s">
        <v>49</v>
      </c>
      <c r="E383" t="s">
        <v>45</v>
      </c>
      <c r="F383">
        <v>0</v>
      </c>
      <c r="G383" t="s">
        <v>46</v>
      </c>
      <c r="H383" t="s">
        <v>45</v>
      </c>
      <c r="I383" t="s">
        <v>47</v>
      </c>
      <c r="J383">
        <v>1.5</v>
      </c>
      <c r="K383">
        <v>3</v>
      </c>
      <c r="L383">
        <v>6</v>
      </c>
      <c r="M383" t="s">
        <v>45</v>
      </c>
      <c r="N383" t="s">
        <v>47</v>
      </c>
      <c r="O383">
        <v>2</v>
      </c>
      <c r="P383">
        <v>11</v>
      </c>
    </row>
    <row r="384" spans="1:16" x14ac:dyDescent="0.4">
      <c r="A384" t="s">
        <v>433</v>
      </c>
      <c r="B384">
        <v>18</v>
      </c>
      <c r="C384" t="s">
        <v>56</v>
      </c>
      <c r="D384" t="s">
        <v>44</v>
      </c>
      <c r="E384" t="s">
        <v>45</v>
      </c>
      <c r="F384">
        <v>1</v>
      </c>
      <c r="G384" t="s">
        <v>46</v>
      </c>
      <c r="H384" t="s">
        <v>45</v>
      </c>
      <c r="I384" t="s">
        <v>47</v>
      </c>
      <c r="J384">
        <v>8</v>
      </c>
      <c r="K384">
        <v>0</v>
      </c>
      <c r="L384">
        <v>2</v>
      </c>
      <c r="M384" t="s">
        <v>45</v>
      </c>
      <c r="N384" t="s">
        <v>45</v>
      </c>
      <c r="O384">
        <v>1</v>
      </c>
      <c r="P384">
        <v>17</v>
      </c>
    </row>
    <row r="385" spans="1:16" x14ac:dyDescent="0.4">
      <c r="A385" t="s">
        <v>434</v>
      </c>
      <c r="B385">
        <v>15</v>
      </c>
      <c r="C385" t="s">
        <v>43</v>
      </c>
      <c r="D385" t="s">
        <v>49</v>
      </c>
      <c r="E385" t="s">
        <v>45</v>
      </c>
      <c r="F385">
        <v>0</v>
      </c>
      <c r="G385" t="s">
        <v>50</v>
      </c>
      <c r="H385" t="s">
        <v>45</v>
      </c>
      <c r="I385" t="s">
        <v>47</v>
      </c>
      <c r="J385">
        <v>3.25</v>
      </c>
      <c r="K385">
        <v>0</v>
      </c>
      <c r="L385">
        <v>11</v>
      </c>
      <c r="M385" t="s">
        <v>45</v>
      </c>
      <c r="N385" t="s">
        <v>47</v>
      </c>
      <c r="O385">
        <v>2</v>
      </c>
      <c r="P385">
        <v>10</v>
      </c>
    </row>
    <row r="386" spans="1:16" x14ac:dyDescent="0.4">
      <c r="A386" t="s">
        <v>435</v>
      </c>
      <c r="B386">
        <v>18</v>
      </c>
      <c r="C386" t="s">
        <v>43</v>
      </c>
      <c r="D386" t="s">
        <v>44</v>
      </c>
      <c r="E386" t="s">
        <v>47</v>
      </c>
      <c r="F386">
        <v>2</v>
      </c>
      <c r="G386" t="s">
        <v>46</v>
      </c>
      <c r="H386" t="s">
        <v>47</v>
      </c>
      <c r="I386" t="s">
        <v>47</v>
      </c>
      <c r="J386">
        <v>1</v>
      </c>
      <c r="K386">
        <v>0</v>
      </c>
      <c r="L386">
        <v>2</v>
      </c>
      <c r="M386" t="s">
        <v>45</v>
      </c>
      <c r="N386" t="s">
        <v>47</v>
      </c>
      <c r="O386">
        <v>3</v>
      </c>
      <c r="P386">
        <v>11</v>
      </c>
    </row>
    <row r="387" spans="1:16" x14ac:dyDescent="0.4">
      <c r="A387" t="s">
        <v>436</v>
      </c>
      <c r="B387">
        <v>17</v>
      </c>
      <c r="C387" t="s">
        <v>56</v>
      </c>
      <c r="D387" t="s">
        <v>44</v>
      </c>
      <c r="E387" t="s">
        <v>47</v>
      </c>
      <c r="F387">
        <v>0</v>
      </c>
      <c r="G387" t="s">
        <v>46</v>
      </c>
      <c r="H387" t="s">
        <v>45</v>
      </c>
      <c r="I387" t="s">
        <v>47</v>
      </c>
      <c r="J387">
        <v>11.75</v>
      </c>
      <c r="K387">
        <v>0</v>
      </c>
      <c r="L387">
        <v>2</v>
      </c>
      <c r="M387" t="s">
        <v>45</v>
      </c>
      <c r="N387" t="s">
        <v>45</v>
      </c>
      <c r="O387">
        <v>1</v>
      </c>
      <c r="P387">
        <v>12</v>
      </c>
    </row>
    <row r="388" spans="1:16" x14ac:dyDescent="0.4">
      <c r="A388" t="s">
        <v>437</v>
      </c>
      <c r="B388">
        <v>15</v>
      </c>
      <c r="C388" t="s">
        <v>43</v>
      </c>
      <c r="D388" t="s">
        <v>49</v>
      </c>
      <c r="E388" t="s">
        <v>47</v>
      </c>
      <c r="F388">
        <v>1</v>
      </c>
      <c r="G388" t="s">
        <v>50</v>
      </c>
      <c r="H388" t="s">
        <v>45</v>
      </c>
      <c r="I388" t="s">
        <v>47</v>
      </c>
      <c r="J388">
        <v>2.75</v>
      </c>
      <c r="K388">
        <v>0</v>
      </c>
      <c r="L388">
        <v>7</v>
      </c>
      <c r="M388" t="s">
        <v>45</v>
      </c>
      <c r="N388" t="s">
        <v>47</v>
      </c>
      <c r="O388">
        <v>1</v>
      </c>
      <c r="P388">
        <v>8</v>
      </c>
    </row>
    <row r="389" spans="1:16" x14ac:dyDescent="0.4">
      <c r="A389" t="s">
        <v>438</v>
      </c>
      <c r="B389">
        <v>16</v>
      </c>
      <c r="C389" t="s">
        <v>43</v>
      </c>
      <c r="D389" t="s">
        <v>44</v>
      </c>
      <c r="E389" t="s">
        <v>47</v>
      </c>
      <c r="F389">
        <v>2</v>
      </c>
      <c r="G389" t="s">
        <v>46</v>
      </c>
      <c r="H389" t="s">
        <v>47</v>
      </c>
      <c r="I389" t="s">
        <v>47</v>
      </c>
      <c r="J389">
        <v>2</v>
      </c>
      <c r="K389">
        <v>0</v>
      </c>
      <c r="L389">
        <v>6</v>
      </c>
      <c r="M389" t="s">
        <v>45</v>
      </c>
      <c r="N389" t="s">
        <v>47</v>
      </c>
      <c r="O389">
        <v>4</v>
      </c>
      <c r="P389">
        <v>10</v>
      </c>
    </row>
    <row r="390" spans="1:16" x14ac:dyDescent="0.4">
      <c r="A390" t="s">
        <v>439</v>
      </c>
      <c r="B390">
        <v>17</v>
      </c>
      <c r="C390" t="s">
        <v>43</v>
      </c>
      <c r="D390" t="s">
        <v>44</v>
      </c>
      <c r="E390" t="s">
        <v>47</v>
      </c>
      <c r="F390">
        <v>0</v>
      </c>
      <c r="G390" t="s">
        <v>46</v>
      </c>
      <c r="H390" t="s">
        <v>47</v>
      </c>
      <c r="I390" t="s">
        <v>47</v>
      </c>
      <c r="J390">
        <v>1.25</v>
      </c>
      <c r="K390">
        <v>0</v>
      </c>
      <c r="L390">
        <v>18</v>
      </c>
      <c r="M390" t="s">
        <v>45</v>
      </c>
      <c r="N390" t="s">
        <v>47</v>
      </c>
      <c r="O390">
        <v>3</v>
      </c>
      <c r="P390">
        <v>13</v>
      </c>
    </row>
    <row r="391" spans="1:16" x14ac:dyDescent="0.4">
      <c r="A391" t="s">
        <v>440</v>
      </c>
      <c r="B391">
        <v>17</v>
      </c>
      <c r="C391" t="s">
        <v>43</v>
      </c>
      <c r="D391" t="s">
        <v>44</v>
      </c>
      <c r="E391" t="s">
        <v>45</v>
      </c>
      <c r="F391">
        <v>0</v>
      </c>
      <c r="G391" t="s">
        <v>50</v>
      </c>
      <c r="H391" t="s">
        <v>45</v>
      </c>
      <c r="I391" t="s">
        <v>47</v>
      </c>
      <c r="J391">
        <v>10</v>
      </c>
      <c r="K391">
        <v>1</v>
      </c>
      <c r="L391">
        <v>0</v>
      </c>
      <c r="M391" t="s">
        <v>45</v>
      </c>
      <c r="N391" t="s">
        <v>47</v>
      </c>
      <c r="O391">
        <v>3</v>
      </c>
      <c r="P391">
        <v>10</v>
      </c>
    </row>
    <row r="392" spans="1:16" x14ac:dyDescent="0.4">
      <c r="A392" t="s">
        <v>441</v>
      </c>
      <c r="B392">
        <v>15</v>
      </c>
      <c r="C392" t="s">
        <v>43</v>
      </c>
      <c r="D392" t="s">
        <v>44</v>
      </c>
      <c r="E392" t="s">
        <v>45</v>
      </c>
      <c r="F392">
        <v>1</v>
      </c>
      <c r="G392" t="s">
        <v>46</v>
      </c>
      <c r="H392" t="s">
        <v>47</v>
      </c>
      <c r="I392" t="s">
        <v>47</v>
      </c>
      <c r="J392">
        <v>0</v>
      </c>
      <c r="K392">
        <v>0</v>
      </c>
      <c r="L392">
        <v>0</v>
      </c>
      <c r="M392" t="s">
        <v>45</v>
      </c>
      <c r="N392" t="s">
        <v>47</v>
      </c>
      <c r="O392">
        <v>3</v>
      </c>
      <c r="P392">
        <v>11</v>
      </c>
    </row>
    <row r="393" spans="1:16" x14ac:dyDescent="0.4">
      <c r="A393" t="s">
        <v>442</v>
      </c>
      <c r="B393">
        <v>17</v>
      </c>
      <c r="C393" t="s">
        <v>56</v>
      </c>
      <c r="D393" t="s">
        <v>44</v>
      </c>
      <c r="E393" t="s">
        <v>47</v>
      </c>
      <c r="F393">
        <v>0</v>
      </c>
      <c r="G393" t="s">
        <v>46</v>
      </c>
      <c r="H393" t="s">
        <v>47</v>
      </c>
      <c r="I393" t="s">
        <v>47</v>
      </c>
      <c r="J393">
        <v>6.25</v>
      </c>
      <c r="K393">
        <v>0</v>
      </c>
      <c r="L393">
        <v>0</v>
      </c>
      <c r="M393" t="s">
        <v>45</v>
      </c>
      <c r="N393" t="s">
        <v>47</v>
      </c>
      <c r="O393">
        <v>2</v>
      </c>
      <c r="P393">
        <v>15</v>
      </c>
    </row>
    <row r="394" spans="1:16" x14ac:dyDescent="0.4">
      <c r="A394" t="s">
        <v>443</v>
      </c>
      <c r="B394">
        <v>18</v>
      </c>
      <c r="C394" t="s">
        <v>56</v>
      </c>
      <c r="D394" t="s">
        <v>44</v>
      </c>
      <c r="E394" t="s">
        <v>45</v>
      </c>
      <c r="F394">
        <v>0</v>
      </c>
      <c r="G394" t="s">
        <v>50</v>
      </c>
      <c r="H394" t="s">
        <v>47</v>
      </c>
      <c r="I394" t="s">
        <v>47</v>
      </c>
      <c r="J394">
        <v>2.75</v>
      </c>
      <c r="K394">
        <v>0</v>
      </c>
      <c r="L394">
        <v>0</v>
      </c>
      <c r="M394" t="s">
        <v>47</v>
      </c>
      <c r="N394" t="s">
        <v>47</v>
      </c>
      <c r="O394">
        <v>1</v>
      </c>
      <c r="P394">
        <v>12</v>
      </c>
    </row>
    <row r="395" spans="1:16" x14ac:dyDescent="0.4">
      <c r="A395" t="s">
        <v>444</v>
      </c>
      <c r="B395">
        <v>16</v>
      </c>
      <c r="C395" t="s">
        <v>56</v>
      </c>
      <c r="D395" t="s">
        <v>49</v>
      </c>
      <c r="E395" t="s">
        <v>45</v>
      </c>
      <c r="F395">
        <v>0</v>
      </c>
      <c r="G395" t="s">
        <v>46</v>
      </c>
      <c r="H395" t="s">
        <v>45</v>
      </c>
      <c r="I395" t="s">
        <v>47</v>
      </c>
      <c r="J395">
        <v>10.25</v>
      </c>
      <c r="K395">
        <v>0</v>
      </c>
      <c r="L395">
        <v>6</v>
      </c>
      <c r="M395" t="s">
        <v>45</v>
      </c>
      <c r="N395" t="s">
        <v>47</v>
      </c>
      <c r="O395">
        <v>1</v>
      </c>
      <c r="P395">
        <v>13</v>
      </c>
    </row>
    <row r="396" spans="1:16" x14ac:dyDescent="0.4">
      <c r="A396" t="s">
        <v>445</v>
      </c>
      <c r="B396">
        <v>17</v>
      </c>
      <c r="C396" t="s">
        <v>43</v>
      </c>
      <c r="D396" t="s">
        <v>44</v>
      </c>
      <c r="E396" t="s">
        <v>47</v>
      </c>
      <c r="F396">
        <v>0</v>
      </c>
      <c r="G396" t="s">
        <v>50</v>
      </c>
      <c r="H396" t="s">
        <v>47</v>
      </c>
      <c r="I396" t="s">
        <v>47</v>
      </c>
      <c r="J396">
        <v>1.5</v>
      </c>
      <c r="K396">
        <v>0</v>
      </c>
      <c r="L396">
        <v>6</v>
      </c>
      <c r="M396" t="s">
        <v>45</v>
      </c>
      <c r="N396" t="s">
        <v>47</v>
      </c>
      <c r="O396">
        <v>3</v>
      </c>
      <c r="P396">
        <v>10</v>
      </c>
    </row>
    <row r="397" spans="1:16" x14ac:dyDescent="0.4">
      <c r="A397" t="s">
        <v>446</v>
      </c>
      <c r="B397">
        <v>18</v>
      </c>
      <c r="C397" t="s">
        <v>56</v>
      </c>
      <c r="D397" t="s">
        <v>44</v>
      </c>
      <c r="E397" t="s">
        <v>45</v>
      </c>
      <c r="F397">
        <v>0</v>
      </c>
      <c r="G397" t="s">
        <v>46</v>
      </c>
      <c r="H397" t="s">
        <v>45</v>
      </c>
      <c r="I397" t="s">
        <v>47</v>
      </c>
      <c r="J397">
        <v>2</v>
      </c>
      <c r="K397">
        <v>0</v>
      </c>
      <c r="L397">
        <v>2</v>
      </c>
      <c r="M397" t="s">
        <v>45</v>
      </c>
      <c r="N397" t="s">
        <v>47</v>
      </c>
      <c r="O397">
        <v>1</v>
      </c>
      <c r="P397">
        <v>15</v>
      </c>
    </row>
    <row r="398" spans="1:16" x14ac:dyDescent="0.4">
      <c r="A398" t="s">
        <v>447</v>
      </c>
      <c r="B398">
        <v>16</v>
      </c>
      <c r="C398" t="s">
        <v>56</v>
      </c>
      <c r="D398" t="s">
        <v>44</v>
      </c>
      <c r="E398" t="s">
        <v>45</v>
      </c>
      <c r="F398">
        <v>1</v>
      </c>
      <c r="G398" t="s">
        <v>46</v>
      </c>
      <c r="H398" t="s">
        <v>47</v>
      </c>
      <c r="I398" t="s">
        <v>47</v>
      </c>
      <c r="J398">
        <v>4.25</v>
      </c>
      <c r="K398">
        <v>0</v>
      </c>
      <c r="L398">
        <v>0</v>
      </c>
      <c r="M398" t="s">
        <v>45</v>
      </c>
      <c r="N398" t="s">
        <v>45</v>
      </c>
      <c r="O398">
        <v>1</v>
      </c>
      <c r="P398">
        <v>18</v>
      </c>
    </row>
    <row r="399" spans="1:16" x14ac:dyDescent="0.4">
      <c r="A399" t="s">
        <v>448</v>
      </c>
      <c r="B399">
        <v>18</v>
      </c>
      <c r="C399" t="s">
        <v>56</v>
      </c>
      <c r="D399" t="s">
        <v>49</v>
      </c>
      <c r="E399" t="s">
        <v>47</v>
      </c>
      <c r="F399">
        <v>2</v>
      </c>
      <c r="G399" t="s">
        <v>50</v>
      </c>
      <c r="H399" t="s">
        <v>47</v>
      </c>
      <c r="I399" t="s">
        <v>47</v>
      </c>
      <c r="J399">
        <v>9.5</v>
      </c>
      <c r="K399">
        <v>0</v>
      </c>
      <c r="L399">
        <v>0</v>
      </c>
      <c r="M399" t="s">
        <v>45</v>
      </c>
      <c r="N399" t="s">
        <v>47</v>
      </c>
      <c r="O399">
        <v>1</v>
      </c>
      <c r="P399">
        <v>17</v>
      </c>
    </row>
    <row r="400" spans="1:16" x14ac:dyDescent="0.4">
      <c r="A400" t="s">
        <v>449</v>
      </c>
      <c r="B400">
        <v>15</v>
      </c>
      <c r="C400" t="s">
        <v>43</v>
      </c>
      <c r="D400" t="s">
        <v>44</v>
      </c>
      <c r="E400" t="s">
        <v>47</v>
      </c>
      <c r="F400">
        <v>1</v>
      </c>
      <c r="G400" t="s">
        <v>46</v>
      </c>
      <c r="H400" t="s">
        <v>47</v>
      </c>
      <c r="I400" t="s">
        <v>47</v>
      </c>
      <c r="J400">
        <v>0</v>
      </c>
      <c r="K400">
        <v>0</v>
      </c>
      <c r="L400">
        <v>4</v>
      </c>
      <c r="M400" t="s">
        <v>45</v>
      </c>
      <c r="N400" t="s">
        <v>47</v>
      </c>
      <c r="O400">
        <v>3</v>
      </c>
      <c r="P400">
        <v>9</v>
      </c>
    </row>
    <row r="401" spans="1:16" x14ac:dyDescent="0.4">
      <c r="A401" t="s">
        <v>450</v>
      </c>
      <c r="B401">
        <v>17</v>
      </c>
      <c r="C401" t="s">
        <v>56</v>
      </c>
      <c r="D401" t="s">
        <v>49</v>
      </c>
      <c r="E401" t="s">
        <v>45</v>
      </c>
      <c r="F401">
        <v>0</v>
      </c>
      <c r="G401" t="s">
        <v>50</v>
      </c>
      <c r="H401" t="s">
        <v>45</v>
      </c>
      <c r="I401" t="s">
        <v>47</v>
      </c>
      <c r="J401">
        <v>4.5</v>
      </c>
      <c r="K401">
        <v>0</v>
      </c>
      <c r="L401">
        <v>10</v>
      </c>
      <c r="M401" t="s">
        <v>45</v>
      </c>
      <c r="N401" t="s">
        <v>47</v>
      </c>
      <c r="O401">
        <v>2</v>
      </c>
      <c r="P401">
        <v>9</v>
      </c>
    </row>
    <row r="402" spans="1:16" x14ac:dyDescent="0.4">
      <c r="A402" t="s">
        <v>451</v>
      </c>
      <c r="B402">
        <v>17</v>
      </c>
      <c r="C402" t="s">
        <v>56</v>
      </c>
      <c r="D402" t="s">
        <v>44</v>
      </c>
      <c r="E402" t="s">
        <v>47</v>
      </c>
      <c r="F402">
        <v>0</v>
      </c>
      <c r="G402" t="s">
        <v>50</v>
      </c>
      <c r="H402" t="s">
        <v>47</v>
      </c>
      <c r="I402" t="s">
        <v>47</v>
      </c>
      <c r="J402">
        <v>7.75</v>
      </c>
      <c r="K402">
        <v>0</v>
      </c>
      <c r="L402">
        <v>0</v>
      </c>
      <c r="M402" t="s">
        <v>45</v>
      </c>
      <c r="N402" t="s">
        <v>45</v>
      </c>
      <c r="O402">
        <v>1</v>
      </c>
      <c r="P402">
        <v>10</v>
      </c>
    </row>
    <row r="403" spans="1:16" x14ac:dyDescent="0.4">
      <c r="A403" t="s">
        <v>452</v>
      </c>
      <c r="B403">
        <v>19</v>
      </c>
      <c r="C403" t="s">
        <v>56</v>
      </c>
      <c r="D403" t="s">
        <v>44</v>
      </c>
      <c r="E403" t="s">
        <v>45</v>
      </c>
      <c r="F403">
        <v>0</v>
      </c>
      <c r="G403" t="s">
        <v>46</v>
      </c>
      <c r="H403" t="s">
        <v>45</v>
      </c>
      <c r="I403" t="s">
        <v>47</v>
      </c>
      <c r="J403">
        <v>13.5</v>
      </c>
      <c r="K403">
        <v>0</v>
      </c>
      <c r="L403">
        <v>4</v>
      </c>
      <c r="M403" t="s">
        <v>45</v>
      </c>
      <c r="N403" t="s">
        <v>47</v>
      </c>
      <c r="O403">
        <v>1</v>
      </c>
      <c r="P403">
        <v>12</v>
      </c>
    </row>
    <row r="404" spans="1:16" x14ac:dyDescent="0.4">
      <c r="A404" t="s">
        <v>453</v>
      </c>
      <c r="B404">
        <v>18</v>
      </c>
      <c r="C404" t="s">
        <v>56</v>
      </c>
      <c r="D404" t="s">
        <v>44</v>
      </c>
      <c r="E404" t="s">
        <v>45</v>
      </c>
      <c r="F404">
        <v>0</v>
      </c>
      <c r="G404" t="s">
        <v>50</v>
      </c>
      <c r="H404" t="s">
        <v>47</v>
      </c>
      <c r="I404" t="s">
        <v>47</v>
      </c>
      <c r="J404">
        <v>2.5</v>
      </c>
      <c r="K404">
        <v>0</v>
      </c>
      <c r="L404">
        <v>0</v>
      </c>
      <c r="M404" t="s">
        <v>45</v>
      </c>
      <c r="N404" t="s">
        <v>45</v>
      </c>
      <c r="O404">
        <v>1</v>
      </c>
      <c r="P404">
        <v>10</v>
      </c>
    </row>
    <row r="405" spans="1:16" x14ac:dyDescent="0.4">
      <c r="A405" t="s">
        <v>454</v>
      </c>
      <c r="B405">
        <v>15</v>
      </c>
      <c r="C405" t="s">
        <v>56</v>
      </c>
      <c r="D405" t="s">
        <v>49</v>
      </c>
      <c r="E405" t="s">
        <v>45</v>
      </c>
      <c r="F405">
        <v>2</v>
      </c>
      <c r="G405" t="s">
        <v>50</v>
      </c>
      <c r="H405" t="s">
        <v>47</v>
      </c>
      <c r="I405" t="s">
        <v>47</v>
      </c>
      <c r="J405">
        <v>0.75</v>
      </c>
      <c r="K405">
        <v>0</v>
      </c>
      <c r="L405">
        <v>0</v>
      </c>
      <c r="M405" t="s">
        <v>45</v>
      </c>
      <c r="N405" t="s">
        <v>45</v>
      </c>
      <c r="O405">
        <v>4</v>
      </c>
      <c r="P405">
        <v>14</v>
      </c>
    </row>
    <row r="406" spans="1:16" x14ac:dyDescent="0.4">
      <c r="A406" t="s">
        <v>455</v>
      </c>
      <c r="B406">
        <v>15</v>
      </c>
      <c r="C406" t="s">
        <v>56</v>
      </c>
      <c r="D406" t="s">
        <v>44</v>
      </c>
      <c r="E406" t="s">
        <v>47</v>
      </c>
      <c r="F406">
        <v>0</v>
      </c>
      <c r="G406" t="s">
        <v>46</v>
      </c>
      <c r="H406" t="s">
        <v>45</v>
      </c>
      <c r="I406" t="s">
        <v>47</v>
      </c>
      <c r="J406">
        <v>1.75</v>
      </c>
      <c r="K406">
        <v>0</v>
      </c>
      <c r="L406">
        <v>0</v>
      </c>
      <c r="M406" t="s">
        <v>47</v>
      </c>
      <c r="N406" t="s">
        <v>45</v>
      </c>
      <c r="O406">
        <v>1</v>
      </c>
      <c r="P406">
        <v>10</v>
      </c>
    </row>
    <row r="407" spans="1:16" x14ac:dyDescent="0.4">
      <c r="A407" t="s">
        <v>456</v>
      </c>
      <c r="B407">
        <v>17</v>
      </c>
      <c r="C407" t="s">
        <v>43</v>
      </c>
      <c r="D407" t="s">
        <v>44</v>
      </c>
      <c r="E407" t="s">
        <v>45</v>
      </c>
      <c r="F407">
        <v>0</v>
      </c>
      <c r="G407" t="s">
        <v>46</v>
      </c>
      <c r="H407" t="s">
        <v>47</v>
      </c>
      <c r="I407" t="s">
        <v>47</v>
      </c>
      <c r="J407">
        <v>1.75</v>
      </c>
      <c r="K407">
        <v>0</v>
      </c>
      <c r="L407">
        <v>22</v>
      </c>
      <c r="M407" t="s">
        <v>45</v>
      </c>
      <c r="N407" t="s">
        <v>47</v>
      </c>
      <c r="O407">
        <v>1</v>
      </c>
      <c r="P407">
        <v>6</v>
      </c>
    </row>
    <row r="408" spans="1:16" x14ac:dyDescent="0.4">
      <c r="A408" t="s">
        <v>457</v>
      </c>
      <c r="B408">
        <v>16</v>
      </c>
      <c r="C408" t="s">
        <v>56</v>
      </c>
      <c r="D408" t="s">
        <v>49</v>
      </c>
      <c r="E408" t="s">
        <v>45</v>
      </c>
      <c r="F408">
        <v>0</v>
      </c>
      <c r="G408" t="s">
        <v>50</v>
      </c>
      <c r="H408" t="s">
        <v>47</v>
      </c>
      <c r="I408" t="s">
        <v>47</v>
      </c>
      <c r="J408">
        <v>13.25</v>
      </c>
      <c r="K408">
        <v>0</v>
      </c>
      <c r="L408">
        <v>0</v>
      </c>
      <c r="M408" t="s">
        <v>45</v>
      </c>
      <c r="N408" t="s">
        <v>47</v>
      </c>
      <c r="O408">
        <v>1</v>
      </c>
      <c r="P408">
        <v>13</v>
      </c>
    </row>
    <row r="409" spans="1:16" x14ac:dyDescent="0.4">
      <c r="A409" t="s">
        <v>458</v>
      </c>
      <c r="B409">
        <v>16</v>
      </c>
      <c r="C409" t="s">
        <v>56</v>
      </c>
      <c r="D409" t="s">
        <v>44</v>
      </c>
      <c r="E409" t="s">
        <v>47</v>
      </c>
      <c r="F409">
        <v>0</v>
      </c>
      <c r="G409" t="s">
        <v>46</v>
      </c>
      <c r="H409" t="s">
        <v>47</v>
      </c>
      <c r="I409" t="s">
        <v>45</v>
      </c>
      <c r="J409">
        <v>4</v>
      </c>
      <c r="K409">
        <v>0</v>
      </c>
      <c r="L409">
        <v>0</v>
      </c>
      <c r="M409" t="s">
        <v>45</v>
      </c>
      <c r="N409" t="s">
        <v>47</v>
      </c>
      <c r="O409">
        <v>2</v>
      </c>
      <c r="P409">
        <v>12</v>
      </c>
    </row>
    <row r="410" spans="1:16" x14ac:dyDescent="0.4">
      <c r="A410" t="s">
        <v>459</v>
      </c>
      <c r="B410">
        <v>18</v>
      </c>
      <c r="C410" t="s">
        <v>56</v>
      </c>
      <c r="D410" t="s">
        <v>49</v>
      </c>
      <c r="E410" t="s">
        <v>45</v>
      </c>
      <c r="F410">
        <v>0</v>
      </c>
      <c r="G410" t="s">
        <v>46</v>
      </c>
      <c r="H410" t="s">
        <v>45</v>
      </c>
      <c r="I410" t="s">
        <v>47</v>
      </c>
      <c r="J410">
        <v>12.75</v>
      </c>
      <c r="K410">
        <v>0</v>
      </c>
      <c r="L410">
        <v>6</v>
      </c>
      <c r="M410" t="s">
        <v>45</v>
      </c>
      <c r="N410" t="s">
        <v>47</v>
      </c>
      <c r="O410">
        <v>1</v>
      </c>
      <c r="P410">
        <v>14</v>
      </c>
    </row>
    <row r="411" spans="1:16" x14ac:dyDescent="0.4">
      <c r="A411" t="s">
        <v>460</v>
      </c>
      <c r="B411">
        <v>18</v>
      </c>
      <c r="C411" t="s">
        <v>56</v>
      </c>
      <c r="D411" t="s">
        <v>44</v>
      </c>
      <c r="E411" t="s">
        <v>45</v>
      </c>
      <c r="F411">
        <v>0</v>
      </c>
      <c r="G411" t="s">
        <v>50</v>
      </c>
      <c r="H411" t="s">
        <v>47</v>
      </c>
      <c r="I411" t="s">
        <v>47</v>
      </c>
      <c r="J411">
        <v>4.25</v>
      </c>
      <c r="K411">
        <v>0</v>
      </c>
      <c r="L411">
        <v>4</v>
      </c>
      <c r="M411" t="s">
        <v>45</v>
      </c>
      <c r="N411" t="s">
        <v>45</v>
      </c>
      <c r="O411">
        <v>1</v>
      </c>
      <c r="P411">
        <v>10</v>
      </c>
    </row>
    <row r="412" spans="1:16" x14ac:dyDescent="0.4">
      <c r="A412" t="s">
        <v>461</v>
      </c>
      <c r="B412">
        <v>16</v>
      </c>
      <c r="C412" t="s">
        <v>56</v>
      </c>
      <c r="D412" t="s">
        <v>44</v>
      </c>
      <c r="E412" t="s">
        <v>47</v>
      </c>
      <c r="F412">
        <v>0</v>
      </c>
      <c r="G412" t="s">
        <v>46</v>
      </c>
      <c r="H412" t="s">
        <v>45</v>
      </c>
      <c r="I412" t="s">
        <v>45</v>
      </c>
      <c r="J412">
        <v>2.5</v>
      </c>
      <c r="K412">
        <v>1</v>
      </c>
      <c r="L412">
        <v>14</v>
      </c>
      <c r="M412" t="s">
        <v>45</v>
      </c>
      <c r="N412" t="s">
        <v>47</v>
      </c>
      <c r="O412">
        <v>2</v>
      </c>
      <c r="P412">
        <v>11</v>
      </c>
    </row>
    <row r="413" spans="1:16" x14ac:dyDescent="0.4">
      <c r="A413" t="s">
        <v>462</v>
      </c>
      <c r="B413">
        <v>17</v>
      </c>
      <c r="C413" t="s">
        <v>56</v>
      </c>
      <c r="D413" t="s">
        <v>44</v>
      </c>
      <c r="E413" t="s">
        <v>45</v>
      </c>
      <c r="F413">
        <v>2</v>
      </c>
      <c r="G413" t="s">
        <v>46</v>
      </c>
      <c r="H413" t="s">
        <v>47</v>
      </c>
      <c r="I413" t="s">
        <v>47</v>
      </c>
      <c r="J413">
        <v>1</v>
      </c>
      <c r="K413">
        <v>1</v>
      </c>
      <c r="L413">
        <v>30</v>
      </c>
      <c r="M413" t="s">
        <v>45</v>
      </c>
      <c r="N413" t="s">
        <v>47</v>
      </c>
      <c r="O413">
        <v>2</v>
      </c>
      <c r="P413">
        <v>16</v>
      </c>
    </row>
    <row r="414" spans="1:16" x14ac:dyDescent="0.4">
      <c r="A414" t="s">
        <v>463</v>
      </c>
      <c r="B414">
        <v>15</v>
      </c>
      <c r="C414" t="s">
        <v>56</v>
      </c>
      <c r="D414" t="s">
        <v>44</v>
      </c>
      <c r="E414" t="s">
        <v>45</v>
      </c>
      <c r="F414">
        <v>2</v>
      </c>
      <c r="G414" t="s">
        <v>46</v>
      </c>
      <c r="H414" t="s">
        <v>45</v>
      </c>
      <c r="I414" t="s">
        <v>45</v>
      </c>
      <c r="J414">
        <v>2.25</v>
      </c>
      <c r="K414">
        <v>0</v>
      </c>
      <c r="L414">
        <v>2</v>
      </c>
      <c r="M414" t="s">
        <v>45</v>
      </c>
      <c r="N414" t="s">
        <v>47</v>
      </c>
      <c r="O414">
        <v>1</v>
      </c>
      <c r="P414">
        <v>12</v>
      </c>
    </row>
    <row r="415" spans="1:16" x14ac:dyDescent="0.4">
      <c r="A415" t="s">
        <v>464</v>
      </c>
      <c r="B415">
        <v>15</v>
      </c>
      <c r="C415" t="s">
        <v>56</v>
      </c>
      <c r="D415" t="s">
        <v>44</v>
      </c>
      <c r="E415" t="s">
        <v>45</v>
      </c>
      <c r="F415">
        <v>0</v>
      </c>
      <c r="G415" t="s">
        <v>46</v>
      </c>
      <c r="H415" t="s">
        <v>45</v>
      </c>
      <c r="I415" t="s">
        <v>47</v>
      </c>
      <c r="J415">
        <v>8.25</v>
      </c>
      <c r="K415">
        <v>0</v>
      </c>
      <c r="L415">
        <v>0</v>
      </c>
      <c r="M415" t="s">
        <v>45</v>
      </c>
      <c r="N415" t="s">
        <v>47</v>
      </c>
      <c r="O415">
        <v>1</v>
      </c>
      <c r="P415">
        <v>13</v>
      </c>
    </row>
    <row r="416" spans="1:16" x14ac:dyDescent="0.4">
      <c r="A416" t="s">
        <v>465</v>
      </c>
      <c r="B416">
        <v>18</v>
      </c>
      <c r="C416" t="s">
        <v>43</v>
      </c>
      <c r="D416" t="s">
        <v>44</v>
      </c>
      <c r="E416" t="s">
        <v>45</v>
      </c>
      <c r="F416">
        <v>0</v>
      </c>
      <c r="G416" t="s">
        <v>46</v>
      </c>
      <c r="H416" t="s">
        <v>47</v>
      </c>
      <c r="I416" t="s">
        <v>47</v>
      </c>
      <c r="J416">
        <v>0.5</v>
      </c>
      <c r="K416">
        <v>0</v>
      </c>
      <c r="L416">
        <v>10</v>
      </c>
      <c r="M416" t="s">
        <v>47</v>
      </c>
      <c r="N416" t="s">
        <v>47</v>
      </c>
      <c r="O416">
        <v>3</v>
      </c>
      <c r="P416">
        <v>11</v>
      </c>
    </row>
    <row r="417" spans="1:16" x14ac:dyDescent="0.4">
      <c r="A417" t="s">
        <v>466</v>
      </c>
      <c r="B417">
        <v>18</v>
      </c>
      <c r="C417" t="s">
        <v>43</v>
      </c>
      <c r="D417" t="s">
        <v>44</v>
      </c>
      <c r="E417" t="s">
        <v>47</v>
      </c>
      <c r="F417">
        <v>2</v>
      </c>
      <c r="G417" t="s">
        <v>50</v>
      </c>
      <c r="H417" t="s">
        <v>47</v>
      </c>
      <c r="I417" t="s">
        <v>47</v>
      </c>
      <c r="J417">
        <v>7.75</v>
      </c>
      <c r="K417">
        <v>0</v>
      </c>
      <c r="L417">
        <v>0</v>
      </c>
      <c r="M417" t="s">
        <v>45</v>
      </c>
      <c r="N417" t="s">
        <v>45</v>
      </c>
      <c r="O417">
        <v>2</v>
      </c>
      <c r="P417">
        <v>16</v>
      </c>
    </row>
    <row r="418" spans="1:16" x14ac:dyDescent="0.4">
      <c r="A418" t="s">
        <v>467</v>
      </c>
      <c r="B418">
        <v>16</v>
      </c>
      <c r="C418" t="s">
        <v>56</v>
      </c>
      <c r="D418" t="s">
        <v>44</v>
      </c>
      <c r="E418" t="s">
        <v>45</v>
      </c>
      <c r="F418">
        <v>1</v>
      </c>
      <c r="G418" t="s">
        <v>46</v>
      </c>
      <c r="H418" t="s">
        <v>45</v>
      </c>
      <c r="I418" t="s">
        <v>47</v>
      </c>
      <c r="J418">
        <v>2.5</v>
      </c>
      <c r="K418">
        <v>0</v>
      </c>
      <c r="L418">
        <v>4</v>
      </c>
      <c r="M418" t="s">
        <v>45</v>
      </c>
      <c r="N418" t="s">
        <v>45</v>
      </c>
      <c r="O418">
        <v>1</v>
      </c>
      <c r="P418">
        <v>15</v>
      </c>
    </row>
    <row r="419" spans="1:16" x14ac:dyDescent="0.4">
      <c r="A419" t="s">
        <v>468</v>
      </c>
      <c r="B419">
        <v>16</v>
      </c>
      <c r="C419" t="s">
        <v>43</v>
      </c>
      <c r="D419" t="s">
        <v>44</v>
      </c>
      <c r="E419" t="s">
        <v>45</v>
      </c>
      <c r="F419">
        <v>2</v>
      </c>
      <c r="G419" t="s">
        <v>46</v>
      </c>
      <c r="H419" t="s">
        <v>45</v>
      </c>
      <c r="I419" t="s">
        <v>47</v>
      </c>
      <c r="J419">
        <v>2.5</v>
      </c>
      <c r="K419">
        <v>0</v>
      </c>
      <c r="L419">
        <v>0</v>
      </c>
      <c r="M419" t="s">
        <v>45</v>
      </c>
      <c r="N419" t="s">
        <v>47</v>
      </c>
      <c r="O419">
        <v>3</v>
      </c>
      <c r="P419">
        <v>14</v>
      </c>
    </row>
    <row r="420" spans="1:16" x14ac:dyDescent="0.4">
      <c r="A420" t="s">
        <v>469</v>
      </c>
      <c r="B420">
        <v>17</v>
      </c>
      <c r="C420" t="s">
        <v>43</v>
      </c>
      <c r="D420" t="s">
        <v>44</v>
      </c>
      <c r="E420" t="s">
        <v>47</v>
      </c>
      <c r="F420">
        <v>2</v>
      </c>
      <c r="G420" t="s">
        <v>46</v>
      </c>
      <c r="H420" t="s">
        <v>47</v>
      </c>
      <c r="I420" t="s">
        <v>47</v>
      </c>
      <c r="J420">
        <v>8.25</v>
      </c>
      <c r="K420">
        <v>0</v>
      </c>
      <c r="L420">
        <v>2</v>
      </c>
      <c r="M420" t="s">
        <v>45</v>
      </c>
      <c r="N420" t="s">
        <v>47</v>
      </c>
      <c r="O420">
        <v>1</v>
      </c>
      <c r="P420">
        <v>15</v>
      </c>
    </row>
    <row r="421" spans="1:16" x14ac:dyDescent="0.4">
      <c r="A421" t="s">
        <v>470</v>
      </c>
      <c r="B421">
        <v>18</v>
      </c>
      <c r="C421" t="s">
        <v>43</v>
      </c>
      <c r="D421" t="s">
        <v>49</v>
      </c>
      <c r="E421" t="s">
        <v>45</v>
      </c>
      <c r="F421">
        <v>0</v>
      </c>
      <c r="G421" t="s">
        <v>50</v>
      </c>
      <c r="H421" t="s">
        <v>47</v>
      </c>
      <c r="I421" t="s">
        <v>47</v>
      </c>
      <c r="J421">
        <v>1.25</v>
      </c>
      <c r="K421">
        <v>1</v>
      </c>
      <c r="L421">
        <v>0</v>
      </c>
      <c r="M421" t="s">
        <v>47</v>
      </c>
      <c r="N421" t="s">
        <v>47</v>
      </c>
      <c r="O421">
        <v>2</v>
      </c>
      <c r="P421">
        <v>0</v>
      </c>
    </row>
    <row r="422" spans="1:16" x14ac:dyDescent="0.4">
      <c r="A422" t="s">
        <v>471</v>
      </c>
      <c r="B422">
        <v>20</v>
      </c>
      <c r="C422" t="s">
        <v>43</v>
      </c>
      <c r="D422" t="s">
        <v>44</v>
      </c>
      <c r="E422" t="s">
        <v>45</v>
      </c>
      <c r="F422">
        <v>0</v>
      </c>
      <c r="G422" t="s">
        <v>46</v>
      </c>
      <c r="H422" t="s">
        <v>45</v>
      </c>
      <c r="I422" t="s">
        <v>47</v>
      </c>
      <c r="J422">
        <v>0.75</v>
      </c>
      <c r="K422">
        <v>2</v>
      </c>
      <c r="L422">
        <v>0</v>
      </c>
      <c r="M422" t="s">
        <v>45</v>
      </c>
      <c r="N422" t="s">
        <v>47</v>
      </c>
      <c r="O422">
        <v>1</v>
      </c>
      <c r="P422">
        <v>15</v>
      </c>
    </row>
    <row r="423" spans="1:16" x14ac:dyDescent="0.4">
      <c r="A423" t="s">
        <v>472</v>
      </c>
      <c r="B423">
        <v>15</v>
      </c>
      <c r="C423" t="s">
        <v>56</v>
      </c>
      <c r="D423" t="s">
        <v>44</v>
      </c>
      <c r="E423" t="s">
        <v>45</v>
      </c>
      <c r="F423">
        <v>2</v>
      </c>
      <c r="G423" t="s">
        <v>46</v>
      </c>
      <c r="H423" t="s">
        <v>45</v>
      </c>
      <c r="I423" t="s">
        <v>47</v>
      </c>
      <c r="J423">
        <v>1.25</v>
      </c>
      <c r="K423">
        <v>0</v>
      </c>
      <c r="L423">
        <v>6</v>
      </c>
      <c r="M423" t="s">
        <v>45</v>
      </c>
      <c r="N423" t="s">
        <v>47</v>
      </c>
      <c r="O423">
        <v>1</v>
      </c>
      <c r="P423">
        <v>14</v>
      </c>
    </row>
    <row r="424" spans="1:16" x14ac:dyDescent="0.4">
      <c r="A424" t="s">
        <v>473</v>
      </c>
      <c r="B424">
        <v>15</v>
      </c>
      <c r="C424" t="s">
        <v>56</v>
      </c>
      <c r="D424" t="s">
        <v>49</v>
      </c>
      <c r="E424" t="s">
        <v>45</v>
      </c>
      <c r="F424">
        <v>0</v>
      </c>
      <c r="G424" t="s">
        <v>50</v>
      </c>
      <c r="H424" t="s">
        <v>47</v>
      </c>
      <c r="I424" t="s">
        <v>47</v>
      </c>
      <c r="J424">
        <v>0.25</v>
      </c>
      <c r="K424">
        <v>0</v>
      </c>
      <c r="L424">
        <v>4</v>
      </c>
      <c r="M424" t="s">
        <v>45</v>
      </c>
      <c r="N424" t="s">
        <v>47</v>
      </c>
      <c r="O424">
        <v>2</v>
      </c>
      <c r="P424">
        <v>11</v>
      </c>
    </row>
    <row r="425" spans="1:16" x14ac:dyDescent="0.4">
      <c r="A425" t="s">
        <v>474</v>
      </c>
      <c r="B425">
        <v>15</v>
      </c>
      <c r="C425" t="s">
        <v>43</v>
      </c>
      <c r="D425" t="s">
        <v>49</v>
      </c>
      <c r="E425" t="s">
        <v>45</v>
      </c>
      <c r="F425">
        <v>1</v>
      </c>
      <c r="G425" t="s">
        <v>46</v>
      </c>
      <c r="H425" t="s">
        <v>47</v>
      </c>
      <c r="I425" t="s">
        <v>47</v>
      </c>
      <c r="J425">
        <v>3</v>
      </c>
      <c r="K425">
        <v>0</v>
      </c>
      <c r="L425">
        <v>2</v>
      </c>
      <c r="M425" t="s">
        <v>45</v>
      </c>
      <c r="N425" t="s">
        <v>45</v>
      </c>
      <c r="O425">
        <v>1</v>
      </c>
      <c r="P425">
        <v>11</v>
      </c>
    </row>
    <row r="426" spans="1:16" x14ac:dyDescent="0.4">
      <c r="A426" t="s">
        <v>475</v>
      </c>
      <c r="B426">
        <v>16</v>
      </c>
      <c r="C426" t="s">
        <v>56</v>
      </c>
      <c r="D426" t="s">
        <v>49</v>
      </c>
      <c r="E426" t="s">
        <v>45</v>
      </c>
      <c r="F426">
        <v>0</v>
      </c>
      <c r="G426" t="s">
        <v>50</v>
      </c>
      <c r="H426" t="s">
        <v>47</v>
      </c>
      <c r="I426" t="s">
        <v>47</v>
      </c>
      <c r="J426">
        <v>4.75</v>
      </c>
      <c r="K426">
        <v>0</v>
      </c>
      <c r="L426">
        <v>4</v>
      </c>
      <c r="M426" t="s">
        <v>45</v>
      </c>
      <c r="N426" t="s">
        <v>47</v>
      </c>
      <c r="O426">
        <v>1</v>
      </c>
      <c r="P426">
        <v>11</v>
      </c>
    </row>
    <row r="427" spans="1:16" x14ac:dyDescent="0.4">
      <c r="A427" t="s">
        <v>476</v>
      </c>
      <c r="B427">
        <v>17</v>
      </c>
      <c r="C427" t="s">
        <v>56</v>
      </c>
      <c r="D427" t="s">
        <v>49</v>
      </c>
      <c r="E427" t="s">
        <v>47</v>
      </c>
      <c r="F427">
        <v>2</v>
      </c>
      <c r="G427" t="s">
        <v>46</v>
      </c>
      <c r="H427" t="s">
        <v>47</v>
      </c>
      <c r="I427" t="s">
        <v>47</v>
      </c>
      <c r="J427">
        <v>0</v>
      </c>
      <c r="K427">
        <v>0</v>
      </c>
      <c r="L427">
        <v>6</v>
      </c>
      <c r="M427" t="s">
        <v>45</v>
      </c>
      <c r="N427" t="s">
        <v>47</v>
      </c>
      <c r="O427">
        <v>1</v>
      </c>
      <c r="P427">
        <v>11</v>
      </c>
    </row>
    <row r="428" spans="1:16" x14ac:dyDescent="0.4">
      <c r="A428" t="s">
        <v>477</v>
      </c>
      <c r="B428">
        <v>17</v>
      </c>
      <c r="C428" t="s">
        <v>43</v>
      </c>
      <c r="D428" t="s">
        <v>49</v>
      </c>
      <c r="E428" t="s">
        <v>47</v>
      </c>
      <c r="F428">
        <v>0</v>
      </c>
      <c r="G428" t="s">
        <v>46</v>
      </c>
      <c r="H428" t="s">
        <v>45</v>
      </c>
      <c r="I428" t="s">
        <v>47</v>
      </c>
      <c r="J428">
        <v>3.5</v>
      </c>
      <c r="K428">
        <v>0</v>
      </c>
      <c r="L428">
        <v>0</v>
      </c>
      <c r="M428" t="s">
        <v>47</v>
      </c>
      <c r="N428" t="s">
        <v>45</v>
      </c>
      <c r="O428">
        <v>2</v>
      </c>
      <c r="P428">
        <v>8</v>
      </c>
    </row>
    <row r="429" spans="1:16" x14ac:dyDescent="0.4">
      <c r="A429" t="s">
        <v>478</v>
      </c>
      <c r="B429">
        <v>17</v>
      </c>
      <c r="C429" t="s">
        <v>43</v>
      </c>
      <c r="D429" t="s">
        <v>49</v>
      </c>
      <c r="E429" t="s">
        <v>45</v>
      </c>
      <c r="F429">
        <v>0</v>
      </c>
      <c r="G429" t="s">
        <v>46</v>
      </c>
      <c r="H429" t="s">
        <v>45</v>
      </c>
      <c r="I429" t="s">
        <v>47</v>
      </c>
      <c r="J429">
        <v>2.5</v>
      </c>
      <c r="K429">
        <v>1</v>
      </c>
      <c r="L429">
        <v>14</v>
      </c>
      <c r="M429" t="s">
        <v>45</v>
      </c>
      <c r="N429" t="s">
        <v>47</v>
      </c>
      <c r="O429">
        <v>2</v>
      </c>
      <c r="P429">
        <v>11</v>
      </c>
    </row>
    <row r="430" spans="1:16" x14ac:dyDescent="0.4">
      <c r="A430" t="s">
        <v>479</v>
      </c>
      <c r="B430">
        <v>15</v>
      </c>
      <c r="C430" t="s">
        <v>43</v>
      </c>
      <c r="D430" t="s">
        <v>44</v>
      </c>
      <c r="E430" t="s">
        <v>45</v>
      </c>
      <c r="F430">
        <v>0</v>
      </c>
      <c r="G430" t="s">
        <v>46</v>
      </c>
      <c r="H430" t="s">
        <v>47</v>
      </c>
      <c r="I430" t="s">
        <v>47</v>
      </c>
      <c r="J430">
        <v>0</v>
      </c>
      <c r="K430">
        <v>0</v>
      </c>
      <c r="L430">
        <v>8</v>
      </c>
      <c r="M430" t="s">
        <v>45</v>
      </c>
      <c r="N430" t="s">
        <v>47</v>
      </c>
      <c r="O430">
        <v>1</v>
      </c>
      <c r="P430">
        <v>12</v>
      </c>
    </row>
    <row r="431" spans="1:16" x14ac:dyDescent="0.4">
      <c r="A431" t="s">
        <v>480</v>
      </c>
      <c r="B431">
        <v>16</v>
      </c>
      <c r="C431" t="s">
        <v>43</v>
      </c>
      <c r="D431" t="s">
        <v>44</v>
      </c>
      <c r="E431" t="s">
        <v>45</v>
      </c>
      <c r="F431">
        <v>0</v>
      </c>
      <c r="G431" t="s">
        <v>46</v>
      </c>
      <c r="H431" t="s">
        <v>47</v>
      </c>
      <c r="I431" t="s">
        <v>47</v>
      </c>
      <c r="J431">
        <v>3.5</v>
      </c>
      <c r="K431">
        <v>1</v>
      </c>
      <c r="L431">
        <v>0</v>
      </c>
      <c r="M431" t="s">
        <v>45</v>
      </c>
      <c r="N431" t="s">
        <v>45</v>
      </c>
      <c r="O431">
        <v>4</v>
      </c>
      <c r="P431">
        <v>1</v>
      </c>
    </row>
    <row r="432" spans="1:16" x14ac:dyDescent="0.4">
      <c r="A432" t="s">
        <v>481</v>
      </c>
      <c r="B432">
        <v>16</v>
      </c>
      <c r="C432" t="s">
        <v>56</v>
      </c>
      <c r="D432" t="s">
        <v>49</v>
      </c>
      <c r="E432" t="s">
        <v>45</v>
      </c>
      <c r="F432">
        <v>0</v>
      </c>
      <c r="G432" t="s">
        <v>46</v>
      </c>
      <c r="H432" t="s">
        <v>45</v>
      </c>
      <c r="I432" t="s">
        <v>47</v>
      </c>
      <c r="J432">
        <v>1.25</v>
      </c>
      <c r="K432">
        <v>0</v>
      </c>
      <c r="L432">
        <v>8</v>
      </c>
      <c r="M432" t="s">
        <v>45</v>
      </c>
      <c r="N432" t="s">
        <v>45</v>
      </c>
      <c r="O432">
        <v>1</v>
      </c>
      <c r="P432">
        <v>11</v>
      </c>
    </row>
    <row r="433" spans="1:16" x14ac:dyDescent="0.4">
      <c r="A433" t="s">
        <v>482</v>
      </c>
      <c r="B433">
        <v>17</v>
      </c>
      <c r="C433" t="s">
        <v>43</v>
      </c>
      <c r="D433" t="s">
        <v>49</v>
      </c>
      <c r="E433" t="s">
        <v>47</v>
      </c>
      <c r="F433">
        <v>0</v>
      </c>
      <c r="G433" t="s">
        <v>46</v>
      </c>
      <c r="H433" t="s">
        <v>47</v>
      </c>
      <c r="I433" t="s">
        <v>47</v>
      </c>
      <c r="J433">
        <v>1.5</v>
      </c>
      <c r="K433">
        <v>3</v>
      </c>
      <c r="L433">
        <v>14</v>
      </c>
      <c r="M433" t="s">
        <v>45</v>
      </c>
      <c r="N433" t="s">
        <v>47</v>
      </c>
      <c r="O433">
        <v>3</v>
      </c>
      <c r="P433">
        <v>10</v>
      </c>
    </row>
    <row r="434" spans="1:16" x14ac:dyDescent="0.4">
      <c r="A434" t="s">
        <v>483</v>
      </c>
      <c r="B434">
        <v>15</v>
      </c>
      <c r="C434" t="s">
        <v>43</v>
      </c>
      <c r="D434" t="s">
        <v>44</v>
      </c>
      <c r="E434" t="s">
        <v>45</v>
      </c>
      <c r="F434">
        <v>2</v>
      </c>
      <c r="G434" t="s">
        <v>46</v>
      </c>
      <c r="H434" t="s">
        <v>45</v>
      </c>
      <c r="I434" t="s">
        <v>47</v>
      </c>
      <c r="J434">
        <v>2.25</v>
      </c>
      <c r="K434">
        <v>0</v>
      </c>
      <c r="L434">
        <v>2</v>
      </c>
      <c r="M434" t="s">
        <v>45</v>
      </c>
      <c r="N434" t="s">
        <v>47</v>
      </c>
      <c r="O434">
        <v>1</v>
      </c>
      <c r="P434">
        <v>15</v>
      </c>
    </row>
    <row r="435" spans="1:16" x14ac:dyDescent="0.4">
      <c r="A435" t="s">
        <v>484</v>
      </c>
      <c r="B435">
        <v>17</v>
      </c>
      <c r="C435" t="s">
        <v>56</v>
      </c>
      <c r="D435" t="s">
        <v>44</v>
      </c>
      <c r="E435" t="s">
        <v>47</v>
      </c>
      <c r="F435">
        <v>0</v>
      </c>
      <c r="G435" t="s">
        <v>46</v>
      </c>
      <c r="H435" t="s">
        <v>45</v>
      </c>
      <c r="I435" t="s">
        <v>47</v>
      </c>
      <c r="J435">
        <v>4.25</v>
      </c>
      <c r="K435">
        <v>0</v>
      </c>
      <c r="L435">
        <v>32</v>
      </c>
      <c r="M435" t="s">
        <v>45</v>
      </c>
      <c r="N435" t="s">
        <v>45</v>
      </c>
      <c r="O435">
        <v>2</v>
      </c>
      <c r="P435">
        <v>14</v>
      </c>
    </row>
    <row r="436" spans="1:16" x14ac:dyDescent="0.4">
      <c r="A436" t="s">
        <v>485</v>
      </c>
      <c r="B436">
        <v>15</v>
      </c>
      <c r="C436" t="s">
        <v>56</v>
      </c>
      <c r="D436" t="s">
        <v>49</v>
      </c>
      <c r="E436" t="s">
        <v>45</v>
      </c>
      <c r="F436">
        <v>0</v>
      </c>
      <c r="G436" t="s">
        <v>46</v>
      </c>
      <c r="H436" t="s">
        <v>45</v>
      </c>
      <c r="I436" t="s">
        <v>47</v>
      </c>
      <c r="J436">
        <v>7.5</v>
      </c>
      <c r="K436">
        <v>0</v>
      </c>
      <c r="L436">
        <v>2</v>
      </c>
      <c r="M436" t="s">
        <v>45</v>
      </c>
      <c r="N436" t="s">
        <v>45</v>
      </c>
      <c r="O436">
        <v>2</v>
      </c>
      <c r="P436">
        <v>13</v>
      </c>
    </row>
    <row r="437" spans="1:16" x14ac:dyDescent="0.4">
      <c r="A437" t="s">
        <v>486</v>
      </c>
      <c r="B437">
        <v>17</v>
      </c>
      <c r="C437" t="s">
        <v>56</v>
      </c>
      <c r="D437" t="s">
        <v>44</v>
      </c>
      <c r="E437" t="s">
        <v>45</v>
      </c>
      <c r="F437">
        <v>0</v>
      </c>
      <c r="G437" t="s">
        <v>46</v>
      </c>
      <c r="H437" t="s">
        <v>47</v>
      </c>
      <c r="I437" t="s">
        <v>47</v>
      </c>
      <c r="J437">
        <v>8.5</v>
      </c>
      <c r="K437">
        <v>0</v>
      </c>
      <c r="L437">
        <v>0</v>
      </c>
      <c r="M437" t="s">
        <v>45</v>
      </c>
      <c r="N437" t="s">
        <v>47</v>
      </c>
      <c r="O437">
        <v>1</v>
      </c>
      <c r="P437">
        <v>14</v>
      </c>
    </row>
    <row r="438" spans="1:16" x14ac:dyDescent="0.4">
      <c r="A438" t="s">
        <v>487</v>
      </c>
      <c r="B438">
        <v>16</v>
      </c>
      <c r="C438" t="s">
        <v>56</v>
      </c>
      <c r="D438" t="s">
        <v>44</v>
      </c>
      <c r="E438" t="s">
        <v>45</v>
      </c>
      <c r="F438">
        <v>1</v>
      </c>
      <c r="G438" t="s">
        <v>46</v>
      </c>
      <c r="H438" t="s">
        <v>45</v>
      </c>
      <c r="I438" t="s">
        <v>45</v>
      </c>
      <c r="J438">
        <v>7.25</v>
      </c>
      <c r="K438">
        <v>0</v>
      </c>
      <c r="L438">
        <v>0</v>
      </c>
      <c r="M438" t="s">
        <v>45</v>
      </c>
      <c r="N438" t="s">
        <v>47</v>
      </c>
      <c r="O438">
        <v>3</v>
      </c>
      <c r="P438">
        <v>13</v>
      </c>
    </row>
    <row r="439" spans="1:16" x14ac:dyDescent="0.4">
      <c r="A439" t="s">
        <v>488</v>
      </c>
      <c r="B439">
        <v>17</v>
      </c>
      <c r="C439" t="s">
        <v>43</v>
      </c>
      <c r="D439" t="s">
        <v>44</v>
      </c>
      <c r="E439" t="s">
        <v>45</v>
      </c>
      <c r="F439">
        <v>0</v>
      </c>
      <c r="G439" t="s">
        <v>46</v>
      </c>
      <c r="H439" t="s">
        <v>45</v>
      </c>
      <c r="I439" t="s">
        <v>47</v>
      </c>
      <c r="J439">
        <v>0.5</v>
      </c>
      <c r="K439">
        <v>0</v>
      </c>
      <c r="L439">
        <v>0</v>
      </c>
      <c r="M439" t="s">
        <v>45</v>
      </c>
      <c r="N439" t="s">
        <v>47</v>
      </c>
      <c r="O439">
        <v>4</v>
      </c>
      <c r="P439">
        <v>17</v>
      </c>
    </row>
    <row r="440" spans="1:16" x14ac:dyDescent="0.4">
      <c r="A440" t="s">
        <v>489</v>
      </c>
      <c r="B440">
        <v>17</v>
      </c>
      <c r="C440" t="s">
        <v>56</v>
      </c>
      <c r="D440" t="s">
        <v>44</v>
      </c>
      <c r="E440" t="s">
        <v>45</v>
      </c>
      <c r="F440">
        <v>2</v>
      </c>
      <c r="G440" t="s">
        <v>46</v>
      </c>
      <c r="H440" t="s">
        <v>47</v>
      </c>
      <c r="I440" t="s">
        <v>47</v>
      </c>
      <c r="J440">
        <v>7.75</v>
      </c>
      <c r="K440">
        <v>0</v>
      </c>
      <c r="L440">
        <v>4</v>
      </c>
      <c r="M440" t="s">
        <v>45</v>
      </c>
      <c r="N440" t="s">
        <v>45</v>
      </c>
      <c r="O440">
        <v>1</v>
      </c>
      <c r="P440">
        <v>15</v>
      </c>
    </row>
    <row r="441" spans="1:16" x14ac:dyDescent="0.4">
      <c r="A441" t="s">
        <v>490</v>
      </c>
      <c r="B441">
        <v>17</v>
      </c>
      <c r="C441" t="s">
        <v>56</v>
      </c>
      <c r="D441" t="s">
        <v>44</v>
      </c>
      <c r="E441" t="s">
        <v>45</v>
      </c>
      <c r="F441">
        <v>0</v>
      </c>
      <c r="G441" t="s">
        <v>46</v>
      </c>
      <c r="H441" t="s">
        <v>47</v>
      </c>
      <c r="I441" t="s">
        <v>47</v>
      </c>
      <c r="J441">
        <v>4.25</v>
      </c>
      <c r="K441">
        <v>0</v>
      </c>
      <c r="L441">
        <v>2</v>
      </c>
      <c r="M441" t="s">
        <v>45</v>
      </c>
      <c r="N441" t="s">
        <v>47</v>
      </c>
      <c r="O441">
        <v>1</v>
      </c>
      <c r="P441">
        <v>11</v>
      </c>
    </row>
    <row r="442" spans="1:16" x14ac:dyDescent="0.4">
      <c r="A442" t="s">
        <v>491</v>
      </c>
      <c r="B442">
        <v>17</v>
      </c>
      <c r="C442" t="s">
        <v>56</v>
      </c>
      <c r="D442" t="s">
        <v>44</v>
      </c>
      <c r="E442" t="s">
        <v>45</v>
      </c>
      <c r="F442">
        <v>0</v>
      </c>
      <c r="G442" t="s">
        <v>50</v>
      </c>
      <c r="H442" t="s">
        <v>45</v>
      </c>
      <c r="I442" t="s">
        <v>47</v>
      </c>
      <c r="J442">
        <v>5.75</v>
      </c>
      <c r="K442">
        <v>0</v>
      </c>
      <c r="L442">
        <v>8</v>
      </c>
      <c r="M442" t="s">
        <v>45</v>
      </c>
      <c r="N442" t="s">
        <v>45</v>
      </c>
      <c r="O442">
        <v>1</v>
      </c>
      <c r="P442">
        <v>12</v>
      </c>
    </row>
    <row r="443" spans="1:16" x14ac:dyDescent="0.4">
      <c r="A443" t="s">
        <v>492</v>
      </c>
      <c r="B443">
        <v>17</v>
      </c>
      <c r="C443" t="s">
        <v>43</v>
      </c>
      <c r="D443" t="s">
        <v>49</v>
      </c>
      <c r="E443" t="s">
        <v>45</v>
      </c>
      <c r="F443">
        <v>1</v>
      </c>
      <c r="G443" t="s">
        <v>50</v>
      </c>
      <c r="H443" t="s">
        <v>45</v>
      </c>
      <c r="I443" t="s">
        <v>47</v>
      </c>
      <c r="J443">
        <v>2.75</v>
      </c>
      <c r="K443">
        <v>1</v>
      </c>
      <c r="L443">
        <v>4</v>
      </c>
      <c r="M443" t="s">
        <v>45</v>
      </c>
      <c r="N443" t="s">
        <v>45</v>
      </c>
      <c r="O443">
        <v>2</v>
      </c>
      <c r="P443">
        <v>11</v>
      </c>
    </row>
    <row r="444" spans="1:16" x14ac:dyDescent="0.4">
      <c r="A444" t="s">
        <v>493</v>
      </c>
      <c r="B444">
        <v>18</v>
      </c>
      <c r="C444" t="s">
        <v>56</v>
      </c>
      <c r="D444" t="s">
        <v>44</v>
      </c>
      <c r="E444" t="s">
        <v>47</v>
      </c>
      <c r="F444">
        <v>0</v>
      </c>
      <c r="G444" t="s">
        <v>46</v>
      </c>
      <c r="H444" t="s">
        <v>47</v>
      </c>
      <c r="I444" t="s">
        <v>47</v>
      </c>
      <c r="J444">
        <v>7.5</v>
      </c>
      <c r="K444">
        <v>0</v>
      </c>
      <c r="L444">
        <v>4</v>
      </c>
      <c r="M444" t="s">
        <v>45</v>
      </c>
      <c r="N444" t="s">
        <v>47</v>
      </c>
      <c r="O444">
        <v>2</v>
      </c>
      <c r="P444">
        <v>14</v>
      </c>
    </row>
    <row r="445" spans="1:16" x14ac:dyDescent="0.4">
      <c r="A445" t="s">
        <v>494</v>
      </c>
      <c r="B445">
        <v>16</v>
      </c>
      <c r="C445" t="s">
        <v>43</v>
      </c>
      <c r="D445" t="s">
        <v>44</v>
      </c>
      <c r="E445" t="s">
        <v>47</v>
      </c>
      <c r="F445">
        <v>0</v>
      </c>
      <c r="G445" t="s">
        <v>50</v>
      </c>
      <c r="H445" t="s">
        <v>47</v>
      </c>
      <c r="I445" t="s">
        <v>47</v>
      </c>
      <c r="J445">
        <v>4.25</v>
      </c>
      <c r="K445">
        <v>0</v>
      </c>
      <c r="L445">
        <v>0</v>
      </c>
      <c r="M445" t="s">
        <v>45</v>
      </c>
      <c r="N445" t="s">
        <v>45</v>
      </c>
      <c r="O445">
        <v>2</v>
      </c>
      <c r="P445">
        <v>13</v>
      </c>
    </row>
    <row r="446" spans="1:16" x14ac:dyDescent="0.4">
      <c r="A446" t="s">
        <v>495</v>
      </c>
      <c r="B446">
        <v>17</v>
      </c>
      <c r="C446" t="s">
        <v>43</v>
      </c>
      <c r="D446" t="s">
        <v>44</v>
      </c>
      <c r="E446" t="s">
        <v>45</v>
      </c>
      <c r="F446">
        <v>1</v>
      </c>
      <c r="G446" t="s">
        <v>46</v>
      </c>
      <c r="H446" t="s">
        <v>45</v>
      </c>
      <c r="I446" t="s">
        <v>47</v>
      </c>
      <c r="J446">
        <v>3</v>
      </c>
      <c r="K446">
        <v>0</v>
      </c>
      <c r="L446">
        <v>4</v>
      </c>
      <c r="M446" t="s">
        <v>45</v>
      </c>
      <c r="N446" t="s">
        <v>45</v>
      </c>
      <c r="O446">
        <v>1</v>
      </c>
      <c r="P446">
        <v>13</v>
      </c>
    </row>
    <row r="447" spans="1:16" x14ac:dyDescent="0.4">
      <c r="A447" t="s">
        <v>496</v>
      </c>
      <c r="B447">
        <v>19</v>
      </c>
      <c r="C447" t="s">
        <v>56</v>
      </c>
      <c r="D447" t="s">
        <v>49</v>
      </c>
      <c r="E447" t="s">
        <v>45</v>
      </c>
      <c r="F447">
        <v>0</v>
      </c>
      <c r="G447" t="s">
        <v>50</v>
      </c>
      <c r="H447" t="s">
        <v>45</v>
      </c>
      <c r="I447" t="s">
        <v>47</v>
      </c>
      <c r="J447">
        <v>3</v>
      </c>
      <c r="K447">
        <v>3</v>
      </c>
      <c r="L447">
        <v>0</v>
      </c>
      <c r="M447" t="s">
        <v>47</v>
      </c>
      <c r="N447" t="s">
        <v>45</v>
      </c>
      <c r="O447">
        <v>2</v>
      </c>
      <c r="P447">
        <v>0</v>
      </c>
    </row>
    <row r="448" spans="1:16" x14ac:dyDescent="0.4">
      <c r="A448" t="s">
        <v>497</v>
      </c>
      <c r="B448">
        <v>17</v>
      </c>
      <c r="C448" t="s">
        <v>56</v>
      </c>
      <c r="D448" t="s">
        <v>44</v>
      </c>
      <c r="E448" t="s">
        <v>45</v>
      </c>
      <c r="F448">
        <v>0</v>
      </c>
      <c r="G448" t="s">
        <v>50</v>
      </c>
      <c r="H448" t="s">
        <v>45</v>
      </c>
      <c r="I448" t="s">
        <v>47</v>
      </c>
      <c r="J448">
        <v>0</v>
      </c>
      <c r="K448">
        <v>0</v>
      </c>
      <c r="L448">
        <v>9</v>
      </c>
      <c r="M448" t="s">
        <v>45</v>
      </c>
      <c r="N448" t="s">
        <v>47</v>
      </c>
      <c r="O448">
        <v>1</v>
      </c>
      <c r="P448">
        <v>10</v>
      </c>
    </row>
    <row r="449" spans="1:16" x14ac:dyDescent="0.4">
      <c r="A449" t="s">
        <v>498</v>
      </c>
      <c r="B449">
        <v>18</v>
      </c>
      <c r="C449" t="s">
        <v>56</v>
      </c>
      <c r="D449" t="s">
        <v>44</v>
      </c>
      <c r="E449" t="s">
        <v>45</v>
      </c>
      <c r="F449">
        <v>1</v>
      </c>
      <c r="G449" t="s">
        <v>46</v>
      </c>
      <c r="H449" t="s">
        <v>47</v>
      </c>
      <c r="I449" t="s">
        <v>47</v>
      </c>
      <c r="J449">
        <v>3.5</v>
      </c>
      <c r="K449">
        <v>0</v>
      </c>
      <c r="L449">
        <v>2</v>
      </c>
      <c r="M449" t="s">
        <v>45</v>
      </c>
      <c r="N449" t="s">
        <v>45</v>
      </c>
      <c r="O449">
        <v>2</v>
      </c>
      <c r="P449">
        <v>15</v>
      </c>
    </row>
    <row r="450" spans="1:16" x14ac:dyDescent="0.4">
      <c r="A450" t="s">
        <v>499</v>
      </c>
      <c r="B450">
        <v>17</v>
      </c>
      <c r="C450" t="s">
        <v>56</v>
      </c>
      <c r="D450" t="s">
        <v>44</v>
      </c>
      <c r="E450" t="s">
        <v>45</v>
      </c>
      <c r="F450">
        <v>0</v>
      </c>
      <c r="G450" t="s">
        <v>46</v>
      </c>
      <c r="H450" t="s">
        <v>45</v>
      </c>
      <c r="I450" t="s">
        <v>47</v>
      </c>
      <c r="J450">
        <v>2.75</v>
      </c>
      <c r="K450">
        <v>0</v>
      </c>
      <c r="L450">
        <v>2</v>
      </c>
      <c r="M450" t="s">
        <v>45</v>
      </c>
      <c r="N450" t="s">
        <v>45</v>
      </c>
      <c r="O450">
        <v>1</v>
      </c>
      <c r="P450">
        <v>14</v>
      </c>
    </row>
    <row r="451" spans="1:16" x14ac:dyDescent="0.4">
      <c r="A451" t="s">
        <v>500</v>
      </c>
      <c r="B451">
        <v>16</v>
      </c>
      <c r="C451" t="s">
        <v>56</v>
      </c>
      <c r="D451" t="s">
        <v>44</v>
      </c>
      <c r="E451" t="s">
        <v>45</v>
      </c>
      <c r="F451">
        <v>1</v>
      </c>
      <c r="G451" t="s">
        <v>46</v>
      </c>
      <c r="H451" t="s">
        <v>47</v>
      </c>
      <c r="I451" t="s">
        <v>47</v>
      </c>
      <c r="J451">
        <v>4.75</v>
      </c>
      <c r="K451">
        <v>0</v>
      </c>
      <c r="L451">
        <v>14</v>
      </c>
      <c r="M451" t="s">
        <v>45</v>
      </c>
      <c r="N451" t="s">
        <v>47</v>
      </c>
      <c r="O451">
        <v>1</v>
      </c>
      <c r="P451">
        <v>11</v>
      </c>
    </row>
    <row r="452" spans="1:16" x14ac:dyDescent="0.4">
      <c r="A452" t="s">
        <v>501</v>
      </c>
      <c r="B452">
        <v>16</v>
      </c>
      <c r="C452" t="s">
        <v>56</v>
      </c>
      <c r="D452" t="s">
        <v>44</v>
      </c>
      <c r="E452" t="s">
        <v>45</v>
      </c>
      <c r="F452">
        <v>0</v>
      </c>
      <c r="G452" t="s">
        <v>50</v>
      </c>
      <c r="H452" t="s">
        <v>47</v>
      </c>
      <c r="I452" t="s">
        <v>47</v>
      </c>
      <c r="J452">
        <v>4.5</v>
      </c>
      <c r="K452">
        <v>0</v>
      </c>
      <c r="L452">
        <v>0</v>
      </c>
      <c r="M452" t="s">
        <v>45</v>
      </c>
      <c r="N452" t="s">
        <v>45</v>
      </c>
      <c r="O452">
        <v>2</v>
      </c>
      <c r="P452">
        <v>15</v>
      </c>
    </row>
    <row r="453" spans="1:16" x14ac:dyDescent="0.4">
      <c r="A453" t="s">
        <v>502</v>
      </c>
      <c r="B453">
        <v>18</v>
      </c>
      <c r="C453" t="s">
        <v>43</v>
      </c>
      <c r="D453" t="s">
        <v>44</v>
      </c>
      <c r="E453" t="s">
        <v>47</v>
      </c>
      <c r="F453">
        <v>0</v>
      </c>
      <c r="G453" t="s">
        <v>46</v>
      </c>
      <c r="H453" t="s">
        <v>47</v>
      </c>
      <c r="I453" t="s">
        <v>47</v>
      </c>
      <c r="J453">
        <v>0.5</v>
      </c>
      <c r="K453">
        <v>2</v>
      </c>
      <c r="L453">
        <v>0</v>
      </c>
      <c r="M453" t="s">
        <v>47</v>
      </c>
      <c r="N453" t="s">
        <v>45</v>
      </c>
      <c r="O453">
        <v>3</v>
      </c>
      <c r="P453">
        <v>0</v>
      </c>
    </row>
    <row r="454" spans="1:16" x14ac:dyDescent="0.4">
      <c r="A454" t="s">
        <v>503</v>
      </c>
      <c r="B454">
        <v>15</v>
      </c>
      <c r="C454" t="s">
        <v>56</v>
      </c>
      <c r="D454" t="s">
        <v>44</v>
      </c>
      <c r="E454" t="s">
        <v>45</v>
      </c>
      <c r="F454">
        <v>0</v>
      </c>
      <c r="G454" t="s">
        <v>50</v>
      </c>
      <c r="H454" t="s">
        <v>47</v>
      </c>
      <c r="I454" t="s">
        <v>45</v>
      </c>
      <c r="J454">
        <v>2.75</v>
      </c>
      <c r="K454">
        <v>0</v>
      </c>
      <c r="L454">
        <v>0</v>
      </c>
      <c r="M454" t="s">
        <v>45</v>
      </c>
      <c r="N454" t="s">
        <v>47</v>
      </c>
      <c r="O454">
        <v>3</v>
      </c>
      <c r="P454">
        <v>9</v>
      </c>
    </row>
    <row r="455" spans="1:16" x14ac:dyDescent="0.4">
      <c r="A455" t="s">
        <v>504</v>
      </c>
      <c r="B455">
        <v>17</v>
      </c>
      <c r="C455" t="s">
        <v>43</v>
      </c>
      <c r="D455" t="s">
        <v>44</v>
      </c>
      <c r="E455" t="s">
        <v>47</v>
      </c>
      <c r="F455">
        <v>1</v>
      </c>
      <c r="G455" t="s">
        <v>46</v>
      </c>
      <c r="H455" t="s">
        <v>45</v>
      </c>
      <c r="I455" t="s">
        <v>47</v>
      </c>
      <c r="J455">
        <v>2.5</v>
      </c>
      <c r="K455">
        <v>0</v>
      </c>
      <c r="L455">
        <v>0</v>
      </c>
      <c r="M455" t="s">
        <v>45</v>
      </c>
      <c r="N455" t="s">
        <v>47</v>
      </c>
      <c r="O455">
        <v>4</v>
      </c>
      <c r="P455">
        <v>11</v>
      </c>
    </row>
    <row r="456" spans="1:16" x14ac:dyDescent="0.4">
      <c r="A456" t="s">
        <v>505</v>
      </c>
      <c r="B456">
        <v>15</v>
      </c>
      <c r="C456" t="s">
        <v>56</v>
      </c>
      <c r="D456" t="s">
        <v>44</v>
      </c>
      <c r="E456" t="s">
        <v>45</v>
      </c>
      <c r="F456">
        <v>0</v>
      </c>
      <c r="G456" t="s">
        <v>50</v>
      </c>
      <c r="H456" t="s">
        <v>45</v>
      </c>
      <c r="I456" t="s">
        <v>47</v>
      </c>
      <c r="J456">
        <v>9.5</v>
      </c>
      <c r="K456">
        <v>0</v>
      </c>
      <c r="L456">
        <v>0</v>
      </c>
      <c r="M456" t="s">
        <v>45</v>
      </c>
      <c r="N456" t="s">
        <v>47</v>
      </c>
      <c r="O456">
        <v>1</v>
      </c>
      <c r="P456">
        <v>14</v>
      </c>
    </row>
    <row r="457" spans="1:16" x14ac:dyDescent="0.4">
      <c r="A457" t="s">
        <v>506</v>
      </c>
      <c r="B457">
        <v>15</v>
      </c>
      <c r="C457" t="s">
        <v>43</v>
      </c>
      <c r="D457" t="s">
        <v>44</v>
      </c>
      <c r="E457" t="s">
        <v>45</v>
      </c>
      <c r="F457">
        <v>2</v>
      </c>
      <c r="G457" t="s">
        <v>46</v>
      </c>
      <c r="H457" t="s">
        <v>45</v>
      </c>
      <c r="I457" t="s">
        <v>47</v>
      </c>
      <c r="J457">
        <v>1.75</v>
      </c>
      <c r="K457">
        <v>0</v>
      </c>
      <c r="L457">
        <v>2</v>
      </c>
      <c r="M457" t="s">
        <v>45</v>
      </c>
      <c r="N457" t="s">
        <v>47</v>
      </c>
      <c r="O457">
        <v>1</v>
      </c>
      <c r="P457">
        <v>12</v>
      </c>
    </row>
    <row r="458" spans="1:16" x14ac:dyDescent="0.4">
      <c r="A458" t="s">
        <v>507</v>
      </c>
      <c r="B458">
        <v>16</v>
      </c>
      <c r="C458" t="s">
        <v>56</v>
      </c>
      <c r="D458" t="s">
        <v>44</v>
      </c>
      <c r="E458" t="s">
        <v>47</v>
      </c>
      <c r="F458">
        <v>0</v>
      </c>
      <c r="G458" t="s">
        <v>50</v>
      </c>
      <c r="H458" t="s">
        <v>47</v>
      </c>
      <c r="I458" t="s">
        <v>47</v>
      </c>
      <c r="J458">
        <v>4.25</v>
      </c>
      <c r="K458">
        <v>0</v>
      </c>
      <c r="L458">
        <v>6</v>
      </c>
      <c r="M458" t="s">
        <v>45</v>
      </c>
      <c r="N458" t="s">
        <v>47</v>
      </c>
      <c r="O458">
        <v>2</v>
      </c>
      <c r="P458">
        <v>8</v>
      </c>
    </row>
    <row r="459" spans="1:16" x14ac:dyDescent="0.4">
      <c r="A459" t="s">
        <v>508</v>
      </c>
      <c r="B459">
        <v>17</v>
      </c>
      <c r="C459" t="s">
        <v>43</v>
      </c>
      <c r="D459" t="s">
        <v>44</v>
      </c>
      <c r="E459" t="s">
        <v>45</v>
      </c>
      <c r="F459">
        <v>0</v>
      </c>
      <c r="G459" t="s">
        <v>46</v>
      </c>
      <c r="H459" t="s">
        <v>47</v>
      </c>
      <c r="I459" t="s">
        <v>47</v>
      </c>
      <c r="J459">
        <v>0.5</v>
      </c>
      <c r="K459">
        <v>0</v>
      </c>
      <c r="L459">
        <v>2</v>
      </c>
      <c r="M459" t="s">
        <v>45</v>
      </c>
      <c r="N459" t="s">
        <v>47</v>
      </c>
      <c r="O459">
        <v>1</v>
      </c>
      <c r="P459">
        <v>13</v>
      </c>
    </row>
    <row r="460" spans="1:16" x14ac:dyDescent="0.4">
      <c r="A460" t="s">
        <v>509</v>
      </c>
      <c r="B460">
        <v>18</v>
      </c>
      <c r="C460" t="s">
        <v>56</v>
      </c>
      <c r="D460" t="s">
        <v>44</v>
      </c>
      <c r="E460" t="s">
        <v>45</v>
      </c>
      <c r="F460">
        <v>0</v>
      </c>
      <c r="G460" t="s">
        <v>46</v>
      </c>
      <c r="H460" t="s">
        <v>47</v>
      </c>
      <c r="I460" t="s">
        <v>47</v>
      </c>
      <c r="J460">
        <v>8.75</v>
      </c>
      <c r="K460">
        <v>0</v>
      </c>
      <c r="L460">
        <v>4</v>
      </c>
      <c r="M460" t="s">
        <v>45</v>
      </c>
      <c r="N460" t="s">
        <v>45</v>
      </c>
      <c r="O460">
        <v>2</v>
      </c>
      <c r="P460">
        <v>17</v>
      </c>
    </row>
    <row r="461" spans="1:16" x14ac:dyDescent="0.4">
      <c r="A461" t="s">
        <v>510</v>
      </c>
      <c r="B461">
        <v>18</v>
      </c>
      <c r="C461" t="s">
        <v>56</v>
      </c>
      <c r="D461" t="s">
        <v>49</v>
      </c>
      <c r="E461" t="s">
        <v>45</v>
      </c>
      <c r="F461">
        <v>0</v>
      </c>
      <c r="G461" t="s">
        <v>46</v>
      </c>
      <c r="H461" t="s">
        <v>47</v>
      </c>
      <c r="I461" t="s">
        <v>47</v>
      </c>
      <c r="J461">
        <v>4</v>
      </c>
      <c r="K461">
        <v>0</v>
      </c>
      <c r="L461">
        <v>15</v>
      </c>
      <c r="M461" t="s">
        <v>47</v>
      </c>
      <c r="N461" t="s">
        <v>45</v>
      </c>
      <c r="O461">
        <v>1</v>
      </c>
      <c r="P461">
        <v>10</v>
      </c>
    </row>
    <row r="462" spans="1:16" x14ac:dyDescent="0.4">
      <c r="A462" t="s">
        <v>511</v>
      </c>
      <c r="B462">
        <v>17</v>
      </c>
      <c r="C462" t="s">
        <v>56</v>
      </c>
      <c r="D462" t="s">
        <v>44</v>
      </c>
      <c r="E462" t="s">
        <v>45</v>
      </c>
      <c r="F462">
        <v>0</v>
      </c>
      <c r="G462" t="s">
        <v>46</v>
      </c>
      <c r="H462" t="s">
        <v>45</v>
      </c>
      <c r="I462" t="s">
        <v>47</v>
      </c>
      <c r="J462">
        <v>9.5</v>
      </c>
      <c r="K462">
        <v>0</v>
      </c>
      <c r="L462">
        <v>0</v>
      </c>
      <c r="M462" t="s">
        <v>45</v>
      </c>
      <c r="N462" t="s">
        <v>45</v>
      </c>
      <c r="O462">
        <v>1</v>
      </c>
      <c r="P462">
        <v>16</v>
      </c>
    </row>
    <row r="463" spans="1:16" x14ac:dyDescent="0.4">
      <c r="A463" t="s">
        <v>512</v>
      </c>
      <c r="B463">
        <v>18</v>
      </c>
      <c r="C463" t="s">
        <v>43</v>
      </c>
      <c r="D463" t="s">
        <v>44</v>
      </c>
      <c r="E463" t="s">
        <v>47</v>
      </c>
      <c r="F463">
        <v>1</v>
      </c>
      <c r="G463" t="s">
        <v>46</v>
      </c>
      <c r="H463" t="s">
        <v>45</v>
      </c>
      <c r="I463" t="s">
        <v>47</v>
      </c>
      <c r="J463">
        <v>3.5</v>
      </c>
      <c r="K463">
        <v>0</v>
      </c>
      <c r="L463">
        <v>9</v>
      </c>
      <c r="M463" t="s">
        <v>45</v>
      </c>
      <c r="N463" t="s">
        <v>45</v>
      </c>
      <c r="O463">
        <v>2</v>
      </c>
      <c r="P463">
        <v>15</v>
      </c>
    </row>
    <row r="464" spans="1:16" x14ac:dyDescent="0.4">
      <c r="A464" t="s">
        <v>513</v>
      </c>
      <c r="B464">
        <v>17</v>
      </c>
      <c r="C464" t="s">
        <v>43</v>
      </c>
      <c r="D464" t="s">
        <v>44</v>
      </c>
      <c r="E464" t="s">
        <v>45</v>
      </c>
      <c r="F464">
        <v>2</v>
      </c>
      <c r="G464" t="s">
        <v>46</v>
      </c>
      <c r="H464" t="s">
        <v>45</v>
      </c>
      <c r="I464" t="s">
        <v>47</v>
      </c>
      <c r="J464">
        <v>0.75</v>
      </c>
      <c r="K464">
        <v>0</v>
      </c>
      <c r="L464">
        <v>6</v>
      </c>
      <c r="M464" t="s">
        <v>45</v>
      </c>
      <c r="N464" t="s">
        <v>47</v>
      </c>
      <c r="O464">
        <v>1</v>
      </c>
      <c r="P464">
        <v>9</v>
      </c>
    </row>
    <row r="465" spans="1:16" x14ac:dyDescent="0.4">
      <c r="A465" t="s">
        <v>514</v>
      </c>
      <c r="B465">
        <v>16</v>
      </c>
      <c r="C465" t="s">
        <v>56</v>
      </c>
      <c r="D465" t="s">
        <v>44</v>
      </c>
      <c r="E465" t="s">
        <v>45</v>
      </c>
      <c r="F465">
        <v>0</v>
      </c>
      <c r="G465" t="s">
        <v>46</v>
      </c>
      <c r="H465" t="s">
        <v>47</v>
      </c>
      <c r="I465" t="s">
        <v>45</v>
      </c>
      <c r="J465">
        <v>3.25</v>
      </c>
      <c r="K465">
        <v>0</v>
      </c>
      <c r="L465">
        <v>0</v>
      </c>
      <c r="M465" t="s">
        <v>45</v>
      </c>
      <c r="N465" t="s">
        <v>47</v>
      </c>
      <c r="O465">
        <v>1</v>
      </c>
      <c r="P465">
        <v>13</v>
      </c>
    </row>
    <row r="466" spans="1:16" x14ac:dyDescent="0.4">
      <c r="A466" t="s">
        <v>515</v>
      </c>
      <c r="B466">
        <v>15</v>
      </c>
      <c r="C466" t="s">
        <v>56</v>
      </c>
      <c r="D466" t="s">
        <v>44</v>
      </c>
      <c r="E466" t="s">
        <v>45</v>
      </c>
      <c r="F466">
        <v>2</v>
      </c>
      <c r="G466" t="s">
        <v>46</v>
      </c>
      <c r="H466" t="s">
        <v>47</v>
      </c>
      <c r="I466" t="s">
        <v>45</v>
      </c>
      <c r="J466">
        <v>0.5</v>
      </c>
      <c r="K466">
        <v>0</v>
      </c>
      <c r="L466">
        <v>0</v>
      </c>
      <c r="M466" t="s">
        <v>45</v>
      </c>
      <c r="N466" t="s">
        <v>47</v>
      </c>
      <c r="O466">
        <v>2</v>
      </c>
      <c r="P466">
        <v>12</v>
      </c>
    </row>
    <row r="467" spans="1:16" x14ac:dyDescent="0.4">
      <c r="A467" t="s">
        <v>516</v>
      </c>
      <c r="B467">
        <v>16</v>
      </c>
      <c r="C467" t="s">
        <v>56</v>
      </c>
      <c r="D467" t="s">
        <v>44</v>
      </c>
      <c r="E467" t="s">
        <v>45</v>
      </c>
      <c r="F467">
        <v>0</v>
      </c>
      <c r="G467" t="s">
        <v>46</v>
      </c>
      <c r="H467" t="s">
        <v>45</v>
      </c>
      <c r="I467" t="s">
        <v>45</v>
      </c>
      <c r="J467">
        <v>3.25</v>
      </c>
      <c r="K467">
        <v>0</v>
      </c>
      <c r="L467">
        <v>4</v>
      </c>
      <c r="M467" t="s">
        <v>45</v>
      </c>
      <c r="N467" t="s">
        <v>47</v>
      </c>
      <c r="O467">
        <v>3</v>
      </c>
      <c r="P467">
        <v>11</v>
      </c>
    </row>
    <row r="468" spans="1:16" x14ac:dyDescent="0.4">
      <c r="A468" t="s">
        <v>517</v>
      </c>
      <c r="B468">
        <v>15</v>
      </c>
      <c r="C468" t="s">
        <v>56</v>
      </c>
      <c r="D468" t="s">
        <v>44</v>
      </c>
      <c r="E468" t="s">
        <v>45</v>
      </c>
      <c r="F468">
        <v>2</v>
      </c>
      <c r="G468" t="s">
        <v>46</v>
      </c>
      <c r="H468" t="s">
        <v>45</v>
      </c>
      <c r="I468" t="s">
        <v>47</v>
      </c>
      <c r="J468">
        <v>6</v>
      </c>
      <c r="K468">
        <v>0</v>
      </c>
      <c r="L468">
        <v>4</v>
      </c>
      <c r="M468" t="s">
        <v>45</v>
      </c>
      <c r="N468" t="s">
        <v>45</v>
      </c>
      <c r="O468">
        <v>1</v>
      </c>
      <c r="P468">
        <v>15</v>
      </c>
    </row>
    <row r="469" spans="1:16" x14ac:dyDescent="0.4">
      <c r="A469" t="s">
        <v>518</v>
      </c>
      <c r="B469">
        <v>17</v>
      </c>
      <c r="C469" t="s">
        <v>43</v>
      </c>
      <c r="D469" t="s">
        <v>44</v>
      </c>
      <c r="E469" t="s">
        <v>47</v>
      </c>
      <c r="F469">
        <v>0</v>
      </c>
      <c r="G469" t="s">
        <v>46</v>
      </c>
      <c r="H469" t="s">
        <v>47</v>
      </c>
      <c r="I469" t="s">
        <v>47</v>
      </c>
      <c r="J469">
        <v>3.25</v>
      </c>
      <c r="K469">
        <v>0</v>
      </c>
      <c r="L469">
        <v>10</v>
      </c>
      <c r="M469" t="s">
        <v>45</v>
      </c>
      <c r="N469" t="s">
        <v>47</v>
      </c>
      <c r="O469">
        <v>1</v>
      </c>
      <c r="P469">
        <v>18</v>
      </c>
    </row>
    <row r="470" spans="1:16" x14ac:dyDescent="0.4">
      <c r="A470" t="s">
        <v>519</v>
      </c>
      <c r="B470">
        <v>17</v>
      </c>
      <c r="C470" t="s">
        <v>56</v>
      </c>
      <c r="D470" t="s">
        <v>49</v>
      </c>
      <c r="E470" t="s">
        <v>47</v>
      </c>
      <c r="F470">
        <v>0</v>
      </c>
      <c r="G470" t="s">
        <v>50</v>
      </c>
      <c r="H470" t="s">
        <v>45</v>
      </c>
      <c r="I470" t="s">
        <v>47</v>
      </c>
      <c r="J470">
        <v>2.75</v>
      </c>
      <c r="K470">
        <v>0</v>
      </c>
      <c r="L470">
        <v>5</v>
      </c>
      <c r="M470" t="s">
        <v>45</v>
      </c>
      <c r="N470" t="s">
        <v>45</v>
      </c>
      <c r="O470">
        <v>1</v>
      </c>
      <c r="P470">
        <v>12</v>
      </c>
    </row>
    <row r="471" spans="1:16" x14ac:dyDescent="0.4">
      <c r="A471" t="s">
        <v>520</v>
      </c>
      <c r="B471">
        <v>16</v>
      </c>
      <c r="C471" t="s">
        <v>56</v>
      </c>
      <c r="D471" t="s">
        <v>44</v>
      </c>
      <c r="E471" t="s">
        <v>45</v>
      </c>
      <c r="F471">
        <v>0</v>
      </c>
      <c r="G471" t="s">
        <v>46</v>
      </c>
      <c r="H471" t="s">
        <v>47</v>
      </c>
      <c r="I471" t="s">
        <v>47</v>
      </c>
      <c r="J471">
        <v>2.25</v>
      </c>
      <c r="K471">
        <v>0</v>
      </c>
      <c r="L471">
        <v>0</v>
      </c>
      <c r="M471" t="s">
        <v>45</v>
      </c>
      <c r="N471" t="s">
        <v>47</v>
      </c>
      <c r="O471">
        <v>1</v>
      </c>
      <c r="P471">
        <v>13</v>
      </c>
    </row>
    <row r="472" spans="1:16" x14ac:dyDescent="0.4">
      <c r="A472" t="s">
        <v>521</v>
      </c>
      <c r="B472">
        <v>18</v>
      </c>
      <c r="C472" t="s">
        <v>56</v>
      </c>
      <c r="D472" t="s">
        <v>44</v>
      </c>
      <c r="E472" t="s">
        <v>45</v>
      </c>
      <c r="F472">
        <v>0</v>
      </c>
      <c r="G472" t="s">
        <v>50</v>
      </c>
      <c r="H472" t="s">
        <v>47</v>
      </c>
      <c r="I472" t="s">
        <v>47</v>
      </c>
      <c r="J472">
        <v>2.5</v>
      </c>
      <c r="K472">
        <v>0</v>
      </c>
      <c r="L472">
        <v>1</v>
      </c>
      <c r="M472" t="s">
        <v>45</v>
      </c>
      <c r="N472" t="s">
        <v>45</v>
      </c>
      <c r="O472">
        <v>1</v>
      </c>
      <c r="P472">
        <v>16</v>
      </c>
    </row>
    <row r="473" spans="1:16" x14ac:dyDescent="0.4">
      <c r="A473" t="s">
        <v>522</v>
      </c>
      <c r="B473">
        <v>18</v>
      </c>
      <c r="C473" t="s">
        <v>56</v>
      </c>
      <c r="D473" t="s">
        <v>49</v>
      </c>
      <c r="E473" t="s">
        <v>45</v>
      </c>
      <c r="F473">
        <v>0</v>
      </c>
      <c r="G473" t="s">
        <v>50</v>
      </c>
      <c r="H473" t="s">
        <v>47</v>
      </c>
      <c r="I473" t="s">
        <v>47</v>
      </c>
      <c r="J473">
        <v>1</v>
      </c>
      <c r="K473">
        <v>1</v>
      </c>
      <c r="L473">
        <v>0</v>
      </c>
      <c r="M473" t="s">
        <v>47</v>
      </c>
      <c r="N473" t="s">
        <v>45</v>
      </c>
      <c r="O473">
        <v>1</v>
      </c>
      <c r="P473">
        <v>0</v>
      </c>
    </row>
    <row r="474" spans="1:16" x14ac:dyDescent="0.4">
      <c r="A474" t="s">
        <v>523</v>
      </c>
      <c r="B474">
        <v>16</v>
      </c>
      <c r="C474" t="s">
        <v>43</v>
      </c>
      <c r="D474" t="s">
        <v>44</v>
      </c>
      <c r="E474" t="s">
        <v>45</v>
      </c>
      <c r="F474">
        <v>0</v>
      </c>
      <c r="G474" t="s">
        <v>46</v>
      </c>
      <c r="H474" t="s">
        <v>47</v>
      </c>
      <c r="I474" t="s">
        <v>47</v>
      </c>
      <c r="J474">
        <v>8</v>
      </c>
      <c r="K474">
        <v>0</v>
      </c>
      <c r="L474">
        <v>4</v>
      </c>
      <c r="M474" t="s">
        <v>45</v>
      </c>
      <c r="N474" t="s">
        <v>45</v>
      </c>
      <c r="O474">
        <v>2</v>
      </c>
      <c r="P474">
        <v>13</v>
      </c>
    </row>
    <row r="475" spans="1:16" x14ac:dyDescent="0.4">
      <c r="A475" t="s">
        <v>524</v>
      </c>
      <c r="B475">
        <v>15</v>
      </c>
      <c r="C475" t="s">
        <v>43</v>
      </c>
      <c r="D475" t="s">
        <v>44</v>
      </c>
      <c r="E475" t="s">
        <v>45</v>
      </c>
      <c r="F475">
        <v>1</v>
      </c>
      <c r="G475" t="s">
        <v>46</v>
      </c>
      <c r="H475" t="s">
        <v>45</v>
      </c>
      <c r="I475" t="s">
        <v>47</v>
      </c>
      <c r="J475">
        <v>10</v>
      </c>
      <c r="K475">
        <v>0</v>
      </c>
      <c r="L475">
        <v>0</v>
      </c>
      <c r="M475" t="s">
        <v>45</v>
      </c>
      <c r="N475" t="s">
        <v>47</v>
      </c>
      <c r="O475">
        <v>1</v>
      </c>
      <c r="P475">
        <v>11</v>
      </c>
    </row>
    <row r="476" spans="1:16" x14ac:dyDescent="0.4">
      <c r="A476" t="s">
        <v>525</v>
      </c>
      <c r="B476">
        <v>17</v>
      </c>
      <c r="C476" t="s">
        <v>43</v>
      </c>
      <c r="D476" t="s">
        <v>44</v>
      </c>
      <c r="E476" t="s">
        <v>45</v>
      </c>
      <c r="F476">
        <v>0</v>
      </c>
      <c r="G476" t="s">
        <v>50</v>
      </c>
      <c r="H476" t="s">
        <v>47</v>
      </c>
      <c r="I476" t="s">
        <v>47</v>
      </c>
      <c r="J476">
        <v>2.75</v>
      </c>
      <c r="K476">
        <v>0</v>
      </c>
      <c r="L476">
        <v>0</v>
      </c>
      <c r="M476" t="s">
        <v>45</v>
      </c>
      <c r="N476" t="s">
        <v>47</v>
      </c>
      <c r="O476">
        <v>2</v>
      </c>
      <c r="P476">
        <v>13</v>
      </c>
    </row>
    <row r="477" spans="1:16" x14ac:dyDescent="0.4">
      <c r="A477" t="s">
        <v>526</v>
      </c>
      <c r="B477">
        <v>16</v>
      </c>
      <c r="C477" t="s">
        <v>43</v>
      </c>
      <c r="D477" t="s">
        <v>44</v>
      </c>
      <c r="E477" t="s">
        <v>45</v>
      </c>
      <c r="F477">
        <v>1</v>
      </c>
      <c r="G477" t="s">
        <v>46</v>
      </c>
      <c r="H477" t="s">
        <v>45</v>
      </c>
      <c r="I477" t="s">
        <v>47</v>
      </c>
      <c r="J477">
        <v>4.75</v>
      </c>
      <c r="K477">
        <v>0</v>
      </c>
      <c r="L477">
        <v>4</v>
      </c>
      <c r="M477" t="s">
        <v>45</v>
      </c>
      <c r="N477" t="s">
        <v>47</v>
      </c>
      <c r="O477">
        <v>2</v>
      </c>
      <c r="P477">
        <v>11</v>
      </c>
    </row>
    <row r="478" spans="1:16" x14ac:dyDescent="0.4">
      <c r="A478" t="s">
        <v>527</v>
      </c>
      <c r="B478">
        <v>15</v>
      </c>
      <c r="C478" t="s">
        <v>43</v>
      </c>
      <c r="D478" t="s">
        <v>44</v>
      </c>
      <c r="E478" t="s">
        <v>45</v>
      </c>
      <c r="F478">
        <v>1</v>
      </c>
      <c r="G478" t="s">
        <v>46</v>
      </c>
      <c r="H478" t="s">
        <v>47</v>
      </c>
      <c r="I478" t="s">
        <v>47</v>
      </c>
      <c r="J478">
        <v>2.75</v>
      </c>
      <c r="K478">
        <v>0</v>
      </c>
      <c r="L478">
        <v>4</v>
      </c>
      <c r="M478" t="s">
        <v>45</v>
      </c>
      <c r="N478" t="s">
        <v>47</v>
      </c>
      <c r="O478">
        <v>2</v>
      </c>
      <c r="P478">
        <v>13</v>
      </c>
    </row>
    <row r="479" spans="1:16" x14ac:dyDescent="0.4">
      <c r="A479" t="s">
        <v>528</v>
      </c>
      <c r="B479">
        <v>16</v>
      </c>
      <c r="C479" t="s">
        <v>43</v>
      </c>
      <c r="D479" t="s">
        <v>44</v>
      </c>
      <c r="E479" t="s">
        <v>45</v>
      </c>
      <c r="F479">
        <v>2</v>
      </c>
      <c r="G479" t="s">
        <v>46</v>
      </c>
      <c r="H479" t="s">
        <v>45</v>
      </c>
      <c r="I479" t="s">
        <v>47</v>
      </c>
      <c r="J479">
        <v>1.25</v>
      </c>
      <c r="K479">
        <v>0</v>
      </c>
      <c r="L479">
        <v>4</v>
      </c>
      <c r="M479" t="s">
        <v>45</v>
      </c>
      <c r="N479" t="s">
        <v>47</v>
      </c>
      <c r="O479">
        <v>2</v>
      </c>
      <c r="P479">
        <v>13</v>
      </c>
    </row>
    <row r="480" spans="1:16" x14ac:dyDescent="0.4">
      <c r="A480" t="s">
        <v>529</v>
      </c>
      <c r="B480">
        <v>16</v>
      </c>
      <c r="C480" t="s">
        <v>43</v>
      </c>
      <c r="D480" t="s">
        <v>44</v>
      </c>
      <c r="E480" t="s">
        <v>45</v>
      </c>
      <c r="F480">
        <v>1</v>
      </c>
      <c r="G480" t="s">
        <v>46</v>
      </c>
      <c r="H480" t="s">
        <v>45</v>
      </c>
      <c r="I480" t="s">
        <v>47</v>
      </c>
      <c r="J480">
        <v>10.75</v>
      </c>
      <c r="K480">
        <v>0</v>
      </c>
      <c r="L480">
        <v>2</v>
      </c>
      <c r="M480" t="s">
        <v>45</v>
      </c>
      <c r="N480" t="s">
        <v>47</v>
      </c>
      <c r="O480">
        <v>1</v>
      </c>
      <c r="P480">
        <v>17</v>
      </c>
    </row>
    <row r="481" spans="1:16" x14ac:dyDescent="0.4">
      <c r="A481" t="s">
        <v>530</v>
      </c>
      <c r="B481">
        <v>18</v>
      </c>
      <c r="C481" t="s">
        <v>43</v>
      </c>
      <c r="D481" t="s">
        <v>44</v>
      </c>
      <c r="E481" t="s">
        <v>45</v>
      </c>
      <c r="F481">
        <v>0</v>
      </c>
      <c r="G481" t="s">
        <v>46</v>
      </c>
      <c r="H481" t="s">
        <v>47</v>
      </c>
      <c r="I481" t="s">
        <v>47</v>
      </c>
      <c r="J481">
        <v>4.5</v>
      </c>
      <c r="K481">
        <v>0</v>
      </c>
      <c r="L481">
        <v>16</v>
      </c>
      <c r="M481" t="s">
        <v>47</v>
      </c>
      <c r="N481" t="s">
        <v>47</v>
      </c>
      <c r="O481">
        <v>4</v>
      </c>
      <c r="P481">
        <v>8</v>
      </c>
    </row>
    <row r="482" spans="1:16" x14ac:dyDescent="0.4">
      <c r="A482" t="s">
        <v>531</v>
      </c>
      <c r="B482">
        <v>17</v>
      </c>
      <c r="C482" t="s">
        <v>56</v>
      </c>
      <c r="D482" t="s">
        <v>49</v>
      </c>
      <c r="E482" t="s">
        <v>45</v>
      </c>
      <c r="F482">
        <v>1</v>
      </c>
      <c r="G482" t="s">
        <v>46</v>
      </c>
      <c r="H482" t="s">
        <v>47</v>
      </c>
      <c r="I482" t="s">
        <v>47</v>
      </c>
      <c r="J482">
        <v>7.5</v>
      </c>
      <c r="K482">
        <v>0</v>
      </c>
      <c r="L482">
        <v>0</v>
      </c>
      <c r="M482" t="s">
        <v>45</v>
      </c>
      <c r="N482" t="s">
        <v>45</v>
      </c>
      <c r="O482">
        <v>1</v>
      </c>
      <c r="P482">
        <v>15</v>
      </c>
    </row>
    <row r="483" spans="1:16" x14ac:dyDescent="0.4">
      <c r="A483" t="s">
        <v>532</v>
      </c>
      <c r="B483">
        <v>17</v>
      </c>
      <c r="C483" t="s">
        <v>43</v>
      </c>
      <c r="D483" t="s">
        <v>44</v>
      </c>
      <c r="E483" t="s">
        <v>45</v>
      </c>
      <c r="F483">
        <v>1</v>
      </c>
      <c r="G483" t="s">
        <v>50</v>
      </c>
      <c r="H483" t="s">
        <v>45</v>
      </c>
      <c r="I483" t="s">
        <v>47</v>
      </c>
      <c r="J483">
        <v>4.5</v>
      </c>
      <c r="K483">
        <v>1</v>
      </c>
      <c r="L483">
        <v>8</v>
      </c>
      <c r="M483" t="s">
        <v>45</v>
      </c>
      <c r="N483" t="s">
        <v>45</v>
      </c>
      <c r="O483">
        <v>3</v>
      </c>
      <c r="P483">
        <v>8</v>
      </c>
    </row>
    <row r="484" spans="1:16" x14ac:dyDescent="0.4">
      <c r="A484" t="s">
        <v>533</v>
      </c>
      <c r="B484">
        <v>16</v>
      </c>
      <c r="C484" t="s">
        <v>56</v>
      </c>
      <c r="D484" t="s">
        <v>44</v>
      </c>
      <c r="E484" t="s">
        <v>47</v>
      </c>
      <c r="F484">
        <v>0</v>
      </c>
      <c r="G484" t="s">
        <v>50</v>
      </c>
      <c r="H484" t="s">
        <v>47</v>
      </c>
      <c r="I484" t="s">
        <v>47</v>
      </c>
      <c r="J484">
        <v>0.75</v>
      </c>
      <c r="K484">
        <v>0</v>
      </c>
      <c r="L484">
        <v>6</v>
      </c>
      <c r="M484" t="s">
        <v>47</v>
      </c>
      <c r="N484" t="s">
        <v>47</v>
      </c>
      <c r="O484">
        <v>1</v>
      </c>
      <c r="P484">
        <v>8</v>
      </c>
    </row>
    <row r="485" spans="1:16" x14ac:dyDescent="0.4">
      <c r="A485" t="s">
        <v>534</v>
      </c>
      <c r="B485">
        <v>17</v>
      </c>
      <c r="C485" t="s">
        <v>56</v>
      </c>
      <c r="D485" t="s">
        <v>44</v>
      </c>
      <c r="E485" t="s">
        <v>47</v>
      </c>
      <c r="F485">
        <v>0</v>
      </c>
      <c r="G485" t="s">
        <v>46</v>
      </c>
      <c r="H485" t="s">
        <v>47</v>
      </c>
      <c r="I485" t="s">
        <v>45</v>
      </c>
      <c r="J485">
        <v>2.25</v>
      </c>
      <c r="K485">
        <v>0</v>
      </c>
      <c r="L485">
        <v>0</v>
      </c>
      <c r="M485" t="s">
        <v>45</v>
      </c>
      <c r="N485" t="s">
        <v>47</v>
      </c>
      <c r="O485">
        <v>1</v>
      </c>
      <c r="P485">
        <v>13</v>
      </c>
    </row>
    <row r="486" spans="1:16" x14ac:dyDescent="0.4">
      <c r="A486" t="s">
        <v>535</v>
      </c>
      <c r="B486">
        <v>15</v>
      </c>
      <c r="C486" t="s">
        <v>43</v>
      </c>
      <c r="D486" t="s">
        <v>44</v>
      </c>
      <c r="E486" t="s">
        <v>45</v>
      </c>
      <c r="F486">
        <v>1</v>
      </c>
      <c r="G486" t="s">
        <v>46</v>
      </c>
      <c r="H486" t="s">
        <v>47</v>
      </c>
      <c r="I486" t="s">
        <v>47</v>
      </c>
      <c r="J486">
        <v>10.75</v>
      </c>
      <c r="K486">
        <v>0</v>
      </c>
      <c r="L486">
        <v>0</v>
      </c>
      <c r="M486" t="s">
        <v>45</v>
      </c>
      <c r="N486" t="s">
        <v>47</v>
      </c>
      <c r="O486">
        <v>1</v>
      </c>
      <c r="P486">
        <v>10</v>
      </c>
    </row>
    <row r="487" spans="1:16" x14ac:dyDescent="0.4">
      <c r="A487" t="s">
        <v>536</v>
      </c>
      <c r="B487">
        <v>17</v>
      </c>
      <c r="C487" t="s">
        <v>56</v>
      </c>
      <c r="D487" t="s">
        <v>49</v>
      </c>
      <c r="E487" t="s">
        <v>47</v>
      </c>
      <c r="F487">
        <v>0</v>
      </c>
      <c r="G487" t="s">
        <v>46</v>
      </c>
      <c r="H487" t="s">
        <v>45</v>
      </c>
      <c r="I487" t="s">
        <v>47</v>
      </c>
      <c r="J487">
        <v>5.25</v>
      </c>
      <c r="K487">
        <v>0</v>
      </c>
      <c r="L487">
        <v>0</v>
      </c>
      <c r="M487" t="s">
        <v>45</v>
      </c>
      <c r="N487" t="s">
        <v>47</v>
      </c>
      <c r="O487">
        <v>2</v>
      </c>
      <c r="P487">
        <v>10</v>
      </c>
    </row>
    <row r="488" spans="1:16" x14ac:dyDescent="0.4">
      <c r="A488" t="s">
        <v>537</v>
      </c>
      <c r="B488">
        <v>19</v>
      </c>
      <c r="C488" t="s">
        <v>56</v>
      </c>
      <c r="D488" t="s">
        <v>44</v>
      </c>
      <c r="E488" t="s">
        <v>45</v>
      </c>
      <c r="F488">
        <v>0</v>
      </c>
      <c r="G488" t="s">
        <v>46</v>
      </c>
      <c r="H488" t="s">
        <v>47</v>
      </c>
      <c r="I488" t="s">
        <v>47</v>
      </c>
      <c r="J488">
        <v>3.5</v>
      </c>
      <c r="K488">
        <v>0</v>
      </c>
      <c r="L488">
        <v>0</v>
      </c>
      <c r="M488" t="s">
        <v>45</v>
      </c>
      <c r="N488" t="s">
        <v>47</v>
      </c>
      <c r="O488">
        <v>1</v>
      </c>
      <c r="P488">
        <v>11</v>
      </c>
    </row>
    <row r="489" spans="1:16" x14ac:dyDescent="0.4">
      <c r="A489" t="s">
        <v>538</v>
      </c>
      <c r="B489">
        <v>17</v>
      </c>
      <c r="C489" t="s">
        <v>43</v>
      </c>
      <c r="D489" t="s">
        <v>49</v>
      </c>
      <c r="E489" t="s">
        <v>47</v>
      </c>
      <c r="F489">
        <v>2</v>
      </c>
      <c r="G489" t="s">
        <v>46</v>
      </c>
      <c r="H489" t="s">
        <v>47</v>
      </c>
      <c r="I489" t="s">
        <v>47</v>
      </c>
      <c r="J489">
        <v>3.5</v>
      </c>
      <c r="K489">
        <v>0</v>
      </c>
      <c r="L489">
        <v>0</v>
      </c>
      <c r="M489" t="s">
        <v>45</v>
      </c>
      <c r="N489" t="s">
        <v>47</v>
      </c>
      <c r="O489">
        <v>2</v>
      </c>
      <c r="P489">
        <v>12</v>
      </c>
    </row>
    <row r="490" spans="1:16" x14ac:dyDescent="0.4">
      <c r="A490" t="s">
        <v>539</v>
      </c>
      <c r="B490">
        <v>16</v>
      </c>
      <c r="C490" t="s">
        <v>56</v>
      </c>
      <c r="D490" t="s">
        <v>44</v>
      </c>
      <c r="E490" t="s">
        <v>45</v>
      </c>
      <c r="F490">
        <v>0</v>
      </c>
      <c r="G490" t="s">
        <v>46</v>
      </c>
      <c r="H490" t="s">
        <v>45</v>
      </c>
      <c r="I490" t="s">
        <v>47</v>
      </c>
      <c r="J490">
        <v>2</v>
      </c>
      <c r="K490">
        <v>0</v>
      </c>
      <c r="L490">
        <v>2</v>
      </c>
      <c r="M490" t="s">
        <v>45</v>
      </c>
      <c r="N490" t="s">
        <v>45</v>
      </c>
      <c r="O490">
        <v>1</v>
      </c>
      <c r="P490">
        <v>12</v>
      </c>
    </row>
    <row r="491" spans="1:16" x14ac:dyDescent="0.4">
      <c r="A491" t="s">
        <v>540</v>
      </c>
      <c r="B491">
        <v>17</v>
      </c>
      <c r="C491" t="s">
        <v>56</v>
      </c>
      <c r="D491" t="s">
        <v>44</v>
      </c>
      <c r="E491" t="s">
        <v>45</v>
      </c>
      <c r="F491">
        <v>0</v>
      </c>
      <c r="G491" t="s">
        <v>46</v>
      </c>
      <c r="H491" t="s">
        <v>45</v>
      </c>
      <c r="I491" t="s">
        <v>47</v>
      </c>
      <c r="J491">
        <v>4.75</v>
      </c>
      <c r="K491">
        <v>0</v>
      </c>
      <c r="L491">
        <v>0</v>
      </c>
      <c r="M491" t="s">
        <v>45</v>
      </c>
      <c r="N491" t="s">
        <v>47</v>
      </c>
      <c r="O491">
        <v>2</v>
      </c>
      <c r="P491">
        <v>17</v>
      </c>
    </row>
    <row r="492" spans="1:16" x14ac:dyDescent="0.4">
      <c r="A492" t="s">
        <v>541</v>
      </c>
      <c r="B492">
        <v>20</v>
      </c>
      <c r="C492" t="s">
        <v>56</v>
      </c>
      <c r="D492" t="s">
        <v>49</v>
      </c>
      <c r="E492" t="s">
        <v>45</v>
      </c>
      <c r="F492">
        <v>0</v>
      </c>
      <c r="G492" t="s">
        <v>46</v>
      </c>
      <c r="H492" t="s">
        <v>45</v>
      </c>
      <c r="I492" t="s">
        <v>47</v>
      </c>
      <c r="J492">
        <v>3.25</v>
      </c>
      <c r="K492">
        <v>0</v>
      </c>
      <c r="L492">
        <v>8</v>
      </c>
      <c r="M492" t="s">
        <v>47</v>
      </c>
      <c r="N492" t="s">
        <v>45</v>
      </c>
      <c r="O492">
        <v>1</v>
      </c>
      <c r="P492">
        <v>12</v>
      </c>
    </row>
    <row r="493" spans="1:16" x14ac:dyDescent="0.4">
      <c r="A493" t="s">
        <v>542</v>
      </c>
      <c r="B493">
        <v>17</v>
      </c>
      <c r="C493" t="s">
        <v>56</v>
      </c>
      <c r="D493" t="s">
        <v>44</v>
      </c>
      <c r="E493" t="s">
        <v>45</v>
      </c>
      <c r="F493">
        <v>1</v>
      </c>
      <c r="G493" t="s">
        <v>46</v>
      </c>
      <c r="H493" t="s">
        <v>47</v>
      </c>
      <c r="I493" t="s">
        <v>47</v>
      </c>
      <c r="J493">
        <v>4</v>
      </c>
      <c r="K493">
        <v>0</v>
      </c>
      <c r="L493">
        <v>6</v>
      </c>
      <c r="M493" t="s">
        <v>45</v>
      </c>
      <c r="N493" t="s">
        <v>45</v>
      </c>
      <c r="O493">
        <v>1</v>
      </c>
      <c r="P493">
        <v>16</v>
      </c>
    </row>
    <row r="494" spans="1:16" x14ac:dyDescent="0.4">
      <c r="A494" t="s">
        <v>543</v>
      </c>
      <c r="B494">
        <v>20</v>
      </c>
      <c r="C494" t="s">
        <v>56</v>
      </c>
      <c r="D494" t="s">
        <v>44</v>
      </c>
      <c r="E494" t="s">
        <v>45</v>
      </c>
      <c r="F494">
        <v>0</v>
      </c>
      <c r="G494" t="s">
        <v>50</v>
      </c>
      <c r="H494" t="s">
        <v>45</v>
      </c>
      <c r="I494" t="s">
        <v>47</v>
      </c>
      <c r="J494">
        <v>4.75</v>
      </c>
      <c r="K494">
        <v>1</v>
      </c>
      <c r="L494">
        <v>8</v>
      </c>
      <c r="M494" t="s">
        <v>45</v>
      </c>
      <c r="N494" t="s">
        <v>45</v>
      </c>
      <c r="O494">
        <v>3</v>
      </c>
      <c r="P494">
        <v>10</v>
      </c>
    </row>
    <row r="495" spans="1:16" x14ac:dyDescent="0.4">
      <c r="A495" t="s">
        <v>544</v>
      </c>
      <c r="B495">
        <v>18</v>
      </c>
      <c r="C495" t="s">
        <v>56</v>
      </c>
      <c r="D495" t="s">
        <v>44</v>
      </c>
      <c r="E495" t="s">
        <v>47</v>
      </c>
      <c r="F495">
        <v>1</v>
      </c>
      <c r="G495" t="s">
        <v>46</v>
      </c>
      <c r="H495" t="s">
        <v>47</v>
      </c>
      <c r="I495" t="s">
        <v>47</v>
      </c>
      <c r="J495">
        <v>2.25</v>
      </c>
      <c r="K495">
        <v>0</v>
      </c>
      <c r="L495">
        <v>0</v>
      </c>
      <c r="M495" t="s">
        <v>45</v>
      </c>
      <c r="N495" t="s">
        <v>45</v>
      </c>
      <c r="O495">
        <v>1</v>
      </c>
      <c r="P495">
        <v>14</v>
      </c>
    </row>
    <row r="496" spans="1:16" x14ac:dyDescent="0.4">
      <c r="A496" t="s">
        <v>545</v>
      </c>
      <c r="B496">
        <v>16</v>
      </c>
      <c r="C496" t="s">
        <v>43</v>
      </c>
      <c r="D496" t="s">
        <v>44</v>
      </c>
      <c r="E496" t="s">
        <v>45</v>
      </c>
      <c r="F496">
        <v>0</v>
      </c>
      <c r="G496" t="s">
        <v>46</v>
      </c>
      <c r="H496" t="s">
        <v>47</v>
      </c>
      <c r="I496" t="s">
        <v>47</v>
      </c>
      <c r="J496">
        <v>0.5</v>
      </c>
      <c r="K496">
        <v>0</v>
      </c>
      <c r="L496">
        <v>0</v>
      </c>
      <c r="M496" t="s">
        <v>45</v>
      </c>
      <c r="N496" t="s">
        <v>47</v>
      </c>
      <c r="O496">
        <v>3</v>
      </c>
      <c r="P496">
        <v>11</v>
      </c>
    </row>
    <row r="497" spans="1:16" x14ac:dyDescent="0.4">
      <c r="A497" t="s">
        <v>546</v>
      </c>
      <c r="B497">
        <v>16</v>
      </c>
      <c r="C497" t="s">
        <v>43</v>
      </c>
      <c r="D497" t="s">
        <v>44</v>
      </c>
      <c r="E497" t="s">
        <v>45</v>
      </c>
      <c r="F497">
        <v>0</v>
      </c>
      <c r="G497" t="s">
        <v>46</v>
      </c>
      <c r="H497" t="s">
        <v>47</v>
      </c>
      <c r="I497" t="s">
        <v>47</v>
      </c>
      <c r="J497">
        <v>11.75</v>
      </c>
      <c r="K497">
        <v>0</v>
      </c>
      <c r="L497">
        <v>2</v>
      </c>
      <c r="M497" t="s">
        <v>45</v>
      </c>
      <c r="N497" t="s">
        <v>47</v>
      </c>
      <c r="O497">
        <v>1</v>
      </c>
      <c r="P497">
        <v>11</v>
      </c>
    </row>
    <row r="498" spans="1:16" x14ac:dyDescent="0.4">
      <c r="A498" t="s">
        <v>547</v>
      </c>
      <c r="B498">
        <v>16</v>
      </c>
      <c r="C498" t="s">
        <v>56</v>
      </c>
      <c r="D498" t="s">
        <v>44</v>
      </c>
      <c r="E498" t="s">
        <v>45</v>
      </c>
      <c r="F498">
        <v>0</v>
      </c>
      <c r="G498" t="s">
        <v>50</v>
      </c>
      <c r="H498" t="s">
        <v>45</v>
      </c>
      <c r="I498" t="s">
        <v>47</v>
      </c>
      <c r="J498">
        <v>0</v>
      </c>
      <c r="K498">
        <v>1</v>
      </c>
      <c r="L498">
        <v>1</v>
      </c>
      <c r="M498" t="s">
        <v>45</v>
      </c>
      <c r="N498" t="s">
        <v>47</v>
      </c>
      <c r="O498">
        <v>2</v>
      </c>
      <c r="P498">
        <v>10</v>
      </c>
    </row>
    <row r="499" spans="1:16" x14ac:dyDescent="0.4">
      <c r="A499" t="s">
        <v>548</v>
      </c>
      <c r="B499">
        <v>18</v>
      </c>
      <c r="C499" t="s">
        <v>43</v>
      </c>
      <c r="D499" t="s">
        <v>44</v>
      </c>
      <c r="E499" t="s">
        <v>45</v>
      </c>
      <c r="F499">
        <v>2</v>
      </c>
      <c r="G499" t="s">
        <v>46</v>
      </c>
      <c r="H499" t="s">
        <v>45</v>
      </c>
      <c r="I499" t="s">
        <v>47</v>
      </c>
      <c r="J499">
        <v>3.75</v>
      </c>
      <c r="K499">
        <v>0</v>
      </c>
      <c r="L499">
        <v>0</v>
      </c>
      <c r="M499" t="s">
        <v>45</v>
      </c>
      <c r="N499" t="s">
        <v>47</v>
      </c>
      <c r="O499">
        <v>2</v>
      </c>
      <c r="P499">
        <v>13</v>
      </c>
    </row>
    <row r="500" spans="1:16" x14ac:dyDescent="0.4">
      <c r="A500" t="s">
        <v>549</v>
      </c>
      <c r="B500">
        <v>19</v>
      </c>
      <c r="C500" t="s">
        <v>56</v>
      </c>
      <c r="D500" t="s">
        <v>44</v>
      </c>
      <c r="E500" t="s">
        <v>47</v>
      </c>
      <c r="F500">
        <v>0</v>
      </c>
      <c r="G500" t="s">
        <v>50</v>
      </c>
      <c r="H500" t="s">
        <v>47</v>
      </c>
      <c r="I500" t="s">
        <v>47</v>
      </c>
      <c r="J500">
        <v>0.25</v>
      </c>
      <c r="K500">
        <v>0</v>
      </c>
      <c r="L500">
        <v>0</v>
      </c>
      <c r="M500" t="s">
        <v>47</v>
      </c>
      <c r="N500" t="s">
        <v>47</v>
      </c>
      <c r="O500">
        <v>1</v>
      </c>
      <c r="P500">
        <v>7</v>
      </c>
    </row>
    <row r="501" spans="1:16" x14ac:dyDescent="0.4">
      <c r="A501" t="s">
        <v>550</v>
      </c>
      <c r="B501">
        <v>18</v>
      </c>
      <c r="C501" t="s">
        <v>43</v>
      </c>
      <c r="D501" t="s">
        <v>44</v>
      </c>
      <c r="E501" t="s">
        <v>47</v>
      </c>
      <c r="F501">
        <v>2</v>
      </c>
      <c r="G501" t="s">
        <v>50</v>
      </c>
      <c r="H501" t="s">
        <v>45</v>
      </c>
      <c r="I501" t="s">
        <v>47</v>
      </c>
      <c r="J501">
        <v>10.25</v>
      </c>
      <c r="K501">
        <v>0</v>
      </c>
      <c r="L501">
        <v>2</v>
      </c>
      <c r="M501" t="s">
        <v>47</v>
      </c>
      <c r="N501" t="s">
        <v>45</v>
      </c>
      <c r="O501">
        <v>5</v>
      </c>
      <c r="P501">
        <v>6</v>
      </c>
    </row>
    <row r="502" spans="1:16" x14ac:dyDescent="0.4">
      <c r="A502" t="s">
        <v>551</v>
      </c>
      <c r="B502">
        <v>17</v>
      </c>
      <c r="C502" t="s">
        <v>56</v>
      </c>
      <c r="D502" t="s">
        <v>44</v>
      </c>
      <c r="E502" t="s">
        <v>45</v>
      </c>
      <c r="F502">
        <v>2</v>
      </c>
      <c r="G502" t="s">
        <v>46</v>
      </c>
      <c r="H502" t="s">
        <v>45</v>
      </c>
      <c r="I502" t="s">
        <v>47</v>
      </c>
      <c r="J502">
        <v>6.75</v>
      </c>
      <c r="K502">
        <v>0</v>
      </c>
      <c r="L502">
        <v>0</v>
      </c>
      <c r="M502" t="s">
        <v>45</v>
      </c>
      <c r="N502" t="s">
        <v>47</v>
      </c>
      <c r="O502">
        <v>2</v>
      </c>
      <c r="P502">
        <v>13</v>
      </c>
    </row>
    <row r="503" spans="1:16" x14ac:dyDescent="0.4">
      <c r="A503" t="s">
        <v>552</v>
      </c>
      <c r="B503">
        <v>16</v>
      </c>
      <c r="C503" t="s">
        <v>56</v>
      </c>
      <c r="D503" t="s">
        <v>44</v>
      </c>
      <c r="E503" t="s">
        <v>45</v>
      </c>
      <c r="F503">
        <v>0</v>
      </c>
      <c r="G503" t="s">
        <v>50</v>
      </c>
      <c r="H503" t="s">
        <v>45</v>
      </c>
      <c r="I503" t="s">
        <v>47</v>
      </c>
      <c r="J503">
        <v>2.5</v>
      </c>
      <c r="K503">
        <v>0</v>
      </c>
      <c r="L503">
        <v>0</v>
      </c>
      <c r="M503" t="s">
        <v>45</v>
      </c>
      <c r="N503" t="s">
        <v>47</v>
      </c>
      <c r="O503">
        <v>1</v>
      </c>
      <c r="P503">
        <v>14</v>
      </c>
    </row>
    <row r="504" spans="1:16" x14ac:dyDescent="0.4">
      <c r="A504" t="s">
        <v>553</v>
      </c>
      <c r="B504">
        <v>16</v>
      </c>
      <c r="C504" t="s">
        <v>43</v>
      </c>
      <c r="D504" t="s">
        <v>44</v>
      </c>
      <c r="E504" t="s">
        <v>47</v>
      </c>
      <c r="F504">
        <v>1</v>
      </c>
      <c r="G504" t="s">
        <v>46</v>
      </c>
      <c r="H504" t="s">
        <v>45</v>
      </c>
      <c r="I504" t="s">
        <v>47</v>
      </c>
      <c r="J504">
        <v>0.5</v>
      </c>
      <c r="K504">
        <v>0</v>
      </c>
      <c r="L504">
        <v>6</v>
      </c>
      <c r="M504" t="s">
        <v>45</v>
      </c>
      <c r="N504" t="s">
        <v>47</v>
      </c>
      <c r="O504">
        <v>2</v>
      </c>
      <c r="P504">
        <v>12</v>
      </c>
    </row>
    <row r="505" spans="1:16" x14ac:dyDescent="0.4">
      <c r="A505" t="s">
        <v>554</v>
      </c>
      <c r="B505">
        <v>16</v>
      </c>
      <c r="C505" t="s">
        <v>56</v>
      </c>
      <c r="D505" t="s">
        <v>44</v>
      </c>
      <c r="E505" t="s">
        <v>47</v>
      </c>
      <c r="F505">
        <v>0</v>
      </c>
      <c r="G505" t="s">
        <v>46</v>
      </c>
      <c r="H505" t="s">
        <v>47</v>
      </c>
      <c r="I505" t="s">
        <v>47</v>
      </c>
      <c r="J505">
        <v>3.75</v>
      </c>
      <c r="K505">
        <v>0</v>
      </c>
      <c r="L505">
        <v>0</v>
      </c>
      <c r="M505" t="s">
        <v>45</v>
      </c>
      <c r="N505" t="s">
        <v>47</v>
      </c>
      <c r="O505">
        <v>2</v>
      </c>
      <c r="P505">
        <v>13</v>
      </c>
    </row>
    <row r="506" spans="1:16" x14ac:dyDescent="0.4">
      <c r="A506" t="s">
        <v>555</v>
      </c>
      <c r="B506">
        <v>17</v>
      </c>
      <c r="C506" t="s">
        <v>56</v>
      </c>
      <c r="D506" t="s">
        <v>44</v>
      </c>
      <c r="E506" t="s">
        <v>45</v>
      </c>
      <c r="F506">
        <v>1</v>
      </c>
      <c r="G506" t="s">
        <v>50</v>
      </c>
      <c r="H506" t="s">
        <v>47</v>
      </c>
      <c r="I506" t="s">
        <v>47</v>
      </c>
      <c r="J506">
        <v>10.25</v>
      </c>
      <c r="K506">
        <v>0</v>
      </c>
      <c r="L506">
        <v>0</v>
      </c>
      <c r="M506" t="s">
        <v>45</v>
      </c>
      <c r="N506" t="s">
        <v>45</v>
      </c>
      <c r="O506">
        <v>2</v>
      </c>
      <c r="P506">
        <v>18</v>
      </c>
    </row>
    <row r="507" spans="1:16" x14ac:dyDescent="0.4">
      <c r="A507" t="s">
        <v>556</v>
      </c>
      <c r="B507">
        <v>18</v>
      </c>
      <c r="C507" t="s">
        <v>56</v>
      </c>
      <c r="D507" t="s">
        <v>44</v>
      </c>
      <c r="E507" t="s">
        <v>45</v>
      </c>
      <c r="F507">
        <v>0</v>
      </c>
      <c r="G507" t="s">
        <v>46</v>
      </c>
      <c r="H507" t="s">
        <v>45</v>
      </c>
      <c r="I507" t="s">
        <v>47</v>
      </c>
      <c r="J507">
        <v>0.25</v>
      </c>
      <c r="K507">
        <v>0</v>
      </c>
      <c r="L507">
        <v>2</v>
      </c>
      <c r="M507" t="s">
        <v>45</v>
      </c>
      <c r="N507" t="s">
        <v>45</v>
      </c>
      <c r="O507">
        <v>3</v>
      </c>
      <c r="P507">
        <v>10</v>
      </c>
    </row>
    <row r="508" spans="1:16" x14ac:dyDescent="0.4">
      <c r="A508" t="s">
        <v>557</v>
      </c>
      <c r="B508">
        <v>18</v>
      </c>
      <c r="C508" t="s">
        <v>56</v>
      </c>
      <c r="D508" t="s">
        <v>44</v>
      </c>
      <c r="E508" t="s">
        <v>45</v>
      </c>
      <c r="F508">
        <v>0</v>
      </c>
      <c r="G508" t="s">
        <v>46</v>
      </c>
      <c r="H508" t="s">
        <v>45</v>
      </c>
      <c r="I508" t="s">
        <v>47</v>
      </c>
      <c r="J508">
        <v>5.75</v>
      </c>
      <c r="K508">
        <v>0</v>
      </c>
      <c r="L508">
        <v>0</v>
      </c>
      <c r="M508" t="s">
        <v>45</v>
      </c>
      <c r="N508" t="s">
        <v>47</v>
      </c>
      <c r="O508">
        <v>1</v>
      </c>
      <c r="P508">
        <v>14</v>
      </c>
    </row>
    <row r="509" spans="1:16" x14ac:dyDescent="0.4">
      <c r="A509" t="s">
        <v>558</v>
      </c>
      <c r="B509">
        <v>18</v>
      </c>
      <c r="C509" t="s">
        <v>43</v>
      </c>
      <c r="D509" t="s">
        <v>44</v>
      </c>
      <c r="E509" t="s">
        <v>45</v>
      </c>
      <c r="F509">
        <v>1</v>
      </c>
      <c r="G509" t="s">
        <v>46</v>
      </c>
      <c r="H509" t="s">
        <v>45</v>
      </c>
      <c r="I509" t="s">
        <v>47</v>
      </c>
      <c r="J509">
        <v>3</v>
      </c>
      <c r="K509">
        <v>0</v>
      </c>
      <c r="L509">
        <v>4</v>
      </c>
      <c r="M509" t="s">
        <v>45</v>
      </c>
      <c r="N509" t="s">
        <v>45</v>
      </c>
      <c r="O509">
        <v>2</v>
      </c>
      <c r="P509">
        <v>14</v>
      </c>
    </row>
    <row r="510" spans="1:16" x14ac:dyDescent="0.4">
      <c r="A510" t="s">
        <v>559</v>
      </c>
      <c r="B510">
        <v>15</v>
      </c>
      <c r="C510" t="s">
        <v>56</v>
      </c>
      <c r="D510" t="s">
        <v>49</v>
      </c>
      <c r="E510" t="s">
        <v>45</v>
      </c>
      <c r="F510">
        <v>0</v>
      </c>
      <c r="G510" t="s">
        <v>50</v>
      </c>
      <c r="H510" t="s">
        <v>47</v>
      </c>
      <c r="I510" t="s">
        <v>47</v>
      </c>
      <c r="J510">
        <v>3.25</v>
      </c>
      <c r="K510">
        <v>0</v>
      </c>
      <c r="L510">
        <v>0</v>
      </c>
      <c r="M510" t="s">
        <v>45</v>
      </c>
      <c r="N510" t="s">
        <v>47</v>
      </c>
      <c r="O510">
        <v>1</v>
      </c>
      <c r="P510">
        <v>14</v>
      </c>
    </row>
    <row r="511" spans="1:16" x14ac:dyDescent="0.4">
      <c r="A511" t="s">
        <v>560</v>
      </c>
      <c r="B511">
        <v>17</v>
      </c>
      <c r="C511" t="s">
        <v>43</v>
      </c>
      <c r="D511" t="s">
        <v>49</v>
      </c>
      <c r="E511" t="s">
        <v>45</v>
      </c>
      <c r="F511">
        <v>0</v>
      </c>
      <c r="G511" t="s">
        <v>46</v>
      </c>
      <c r="H511" t="s">
        <v>45</v>
      </c>
      <c r="I511" t="s">
        <v>47</v>
      </c>
      <c r="J511">
        <v>2.75</v>
      </c>
      <c r="K511">
        <v>0</v>
      </c>
      <c r="L511">
        <v>0</v>
      </c>
      <c r="M511" t="s">
        <v>45</v>
      </c>
      <c r="N511" t="s">
        <v>47</v>
      </c>
      <c r="O511">
        <v>1</v>
      </c>
      <c r="P511">
        <v>13</v>
      </c>
    </row>
    <row r="512" spans="1:16" x14ac:dyDescent="0.4">
      <c r="A512" t="s">
        <v>561</v>
      </c>
      <c r="B512">
        <v>17</v>
      </c>
      <c r="C512" t="s">
        <v>56</v>
      </c>
      <c r="D512" t="s">
        <v>44</v>
      </c>
      <c r="E512" t="s">
        <v>45</v>
      </c>
      <c r="F512">
        <v>0</v>
      </c>
      <c r="G512" t="s">
        <v>46</v>
      </c>
      <c r="H512" t="s">
        <v>45</v>
      </c>
      <c r="I512" t="s">
        <v>47</v>
      </c>
      <c r="J512">
        <v>4.5</v>
      </c>
      <c r="K512">
        <v>0</v>
      </c>
      <c r="L512">
        <v>0</v>
      </c>
      <c r="M512" t="s">
        <v>45</v>
      </c>
      <c r="N512" t="s">
        <v>47</v>
      </c>
      <c r="O512">
        <v>1</v>
      </c>
      <c r="P512">
        <v>12</v>
      </c>
    </row>
    <row r="513" spans="1:16" x14ac:dyDescent="0.4">
      <c r="A513" t="s">
        <v>562</v>
      </c>
      <c r="B513">
        <v>17</v>
      </c>
      <c r="C513" t="s">
        <v>56</v>
      </c>
      <c r="D513" t="s">
        <v>44</v>
      </c>
      <c r="E513" t="s">
        <v>45</v>
      </c>
      <c r="F513">
        <v>1</v>
      </c>
      <c r="G513" t="s">
        <v>50</v>
      </c>
      <c r="H513" t="s">
        <v>45</v>
      </c>
      <c r="I513" t="s">
        <v>45</v>
      </c>
      <c r="J513">
        <v>4.5</v>
      </c>
      <c r="K513">
        <v>0</v>
      </c>
      <c r="L513">
        <v>0</v>
      </c>
      <c r="M513" t="s">
        <v>45</v>
      </c>
      <c r="N513" t="s">
        <v>47</v>
      </c>
      <c r="O513">
        <v>2</v>
      </c>
      <c r="P513">
        <v>0</v>
      </c>
    </row>
    <row r="514" spans="1:16" x14ac:dyDescent="0.4">
      <c r="A514" t="s">
        <v>563</v>
      </c>
      <c r="B514">
        <v>17</v>
      </c>
      <c r="C514" t="s">
        <v>56</v>
      </c>
      <c r="D514" t="s">
        <v>44</v>
      </c>
      <c r="E514" t="s">
        <v>45</v>
      </c>
      <c r="F514">
        <v>0</v>
      </c>
      <c r="G514" t="s">
        <v>46</v>
      </c>
      <c r="H514" t="s">
        <v>45</v>
      </c>
      <c r="I514" t="s">
        <v>47</v>
      </c>
      <c r="J514">
        <v>8.25</v>
      </c>
      <c r="K514">
        <v>0</v>
      </c>
      <c r="L514">
        <v>2</v>
      </c>
      <c r="M514" t="s">
        <v>45</v>
      </c>
      <c r="N514" t="s">
        <v>47</v>
      </c>
      <c r="O514">
        <v>1</v>
      </c>
      <c r="P514">
        <v>13</v>
      </c>
    </row>
    <row r="515" spans="1:16" x14ac:dyDescent="0.4">
      <c r="A515" t="s">
        <v>564</v>
      </c>
      <c r="B515">
        <v>17</v>
      </c>
      <c r="C515" t="s">
        <v>43</v>
      </c>
      <c r="D515" t="s">
        <v>44</v>
      </c>
      <c r="E515" t="s">
        <v>45</v>
      </c>
      <c r="F515">
        <v>0</v>
      </c>
      <c r="G515" t="s">
        <v>50</v>
      </c>
      <c r="H515" t="s">
        <v>45</v>
      </c>
      <c r="I515" t="s">
        <v>47</v>
      </c>
      <c r="J515">
        <v>0.25</v>
      </c>
      <c r="K515">
        <v>0</v>
      </c>
      <c r="L515">
        <v>8</v>
      </c>
      <c r="M515" t="s">
        <v>45</v>
      </c>
      <c r="N515" t="s">
        <v>47</v>
      </c>
      <c r="O515">
        <v>5</v>
      </c>
      <c r="P515">
        <v>9</v>
      </c>
    </row>
    <row r="516" spans="1:16" x14ac:dyDescent="0.4">
      <c r="A516" t="s">
        <v>565</v>
      </c>
      <c r="B516">
        <v>16</v>
      </c>
      <c r="C516" t="s">
        <v>43</v>
      </c>
      <c r="D516" t="s">
        <v>49</v>
      </c>
      <c r="E516" t="s">
        <v>45</v>
      </c>
      <c r="F516">
        <v>1</v>
      </c>
      <c r="G516" t="s">
        <v>50</v>
      </c>
      <c r="H516" t="s">
        <v>47</v>
      </c>
      <c r="I516" t="s">
        <v>47</v>
      </c>
      <c r="J516">
        <v>4.75</v>
      </c>
      <c r="K516">
        <v>0</v>
      </c>
      <c r="L516">
        <v>4</v>
      </c>
      <c r="M516" t="s">
        <v>45</v>
      </c>
      <c r="N516" t="s">
        <v>47</v>
      </c>
      <c r="O516">
        <v>1</v>
      </c>
      <c r="P516">
        <v>11</v>
      </c>
    </row>
    <row r="517" spans="1:16" x14ac:dyDescent="0.4">
      <c r="A517" t="s">
        <v>566</v>
      </c>
      <c r="B517">
        <v>16</v>
      </c>
      <c r="C517" t="s">
        <v>43</v>
      </c>
      <c r="D517" t="s">
        <v>44</v>
      </c>
      <c r="E517" t="s">
        <v>45</v>
      </c>
      <c r="F517">
        <v>0</v>
      </c>
      <c r="G517" t="s">
        <v>50</v>
      </c>
      <c r="H517" t="s">
        <v>47</v>
      </c>
      <c r="I517" t="s">
        <v>47</v>
      </c>
      <c r="J517">
        <v>3.5</v>
      </c>
      <c r="K517">
        <v>0</v>
      </c>
      <c r="L517">
        <v>2</v>
      </c>
      <c r="M517" t="s">
        <v>45</v>
      </c>
      <c r="N517" t="s">
        <v>45</v>
      </c>
      <c r="O517">
        <v>2</v>
      </c>
      <c r="P517">
        <v>8</v>
      </c>
    </row>
    <row r="518" spans="1:16" x14ac:dyDescent="0.4">
      <c r="A518" t="s">
        <v>567</v>
      </c>
      <c r="B518">
        <v>17</v>
      </c>
      <c r="C518" t="s">
        <v>56</v>
      </c>
      <c r="D518" t="s">
        <v>49</v>
      </c>
      <c r="E518" t="s">
        <v>45</v>
      </c>
      <c r="F518">
        <v>1</v>
      </c>
      <c r="G518" t="s">
        <v>46</v>
      </c>
      <c r="H518" t="s">
        <v>45</v>
      </c>
      <c r="I518" t="s">
        <v>47</v>
      </c>
      <c r="J518">
        <v>7.5</v>
      </c>
      <c r="K518">
        <v>0</v>
      </c>
      <c r="L518">
        <v>2</v>
      </c>
      <c r="M518" t="s">
        <v>45</v>
      </c>
      <c r="N518" t="s">
        <v>47</v>
      </c>
      <c r="O518">
        <v>2</v>
      </c>
      <c r="P518">
        <v>14</v>
      </c>
    </row>
    <row r="519" spans="1:16" x14ac:dyDescent="0.4">
      <c r="A519" t="s">
        <v>568</v>
      </c>
      <c r="B519">
        <v>17</v>
      </c>
      <c r="C519" t="s">
        <v>56</v>
      </c>
      <c r="D519" t="s">
        <v>49</v>
      </c>
      <c r="E519" t="s">
        <v>45</v>
      </c>
      <c r="F519">
        <v>0</v>
      </c>
      <c r="G519" t="s">
        <v>50</v>
      </c>
      <c r="H519" t="s">
        <v>47</v>
      </c>
      <c r="I519" t="s">
        <v>47</v>
      </c>
      <c r="J519">
        <v>0.25</v>
      </c>
      <c r="K519">
        <v>0</v>
      </c>
      <c r="L519">
        <v>5</v>
      </c>
      <c r="M519" t="s">
        <v>45</v>
      </c>
      <c r="N519" t="s">
        <v>47</v>
      </c>
      <c r="O519">
        <v>1</v>
      </c>
      <c r="P519">
        <v>9</v>
      </c>
    </row>
    <row r="520" spans="1:16" x14ac:dyDescent="0.4">
      <c r="A520" t="s">
        <v>569</v>
      </c>
      <c r="B520">
        <v>17</v>
      </c>
      <c r="C520" t="s">
        <v>56</v>
      </c>
      <c r="D520" t="s">
        <v>49</v>
      </c>
      <c r="E520" t="s">
        <v>45</v>
      </c>
      <c r="F520">
        <v>0</v>
      </c>
      <c r="G520" t="s">
        <v>50</v>
      </c>
      <c r="H520" t="s">
        <v>47</v>
      </c>
      <c r="I520" t="s">
        <v>47</v>
      </c>
      <c r="J520">
        <v>0</v>
      </c>
      <c r="K520">
        <v>1</v>
      </c>
      <c r="L520">
        <v>0</v>
      </c>
      <c r="M520" t="s">
        <v>47</v>
      </c>
      <c r="N520" t="s">
        <v>47</v>
      </c>
      <c r="O520">
        <v>2</v>
      </c>
      <c r="P520">
        <v>7</v>
      </c>
    </row>
    <row r="521" spans="1:16" x14ac:dyDescent="0.4">
      <c r="A521" t="s">
        <v>570</v>
      </c>
      <c r="B521">
        <v>16</v>
      </c>
      <c r="C521" t="s">
        <v>56</v>
      </c>
      <c r="D521" t="s">
        <v>44</v>
      </c>
      <c r="E521" t="s">
        <v>45</v>
      </c>
      <c r="F521">
        <v>2</v>
      </c>
      <c r="G521" t="s">
        <v>46</v>
      </c>
      <c r="H521" t="s">
        <v>47</v>
      </c>
      <c r="I521" t="s">
        <v>47</v>
      </c>
      <c r="J521">
        <v>3.25</v>
      </c>
      <c r="K521">
        <v>0</v>
      </c>
      <c r="L521">
        <v>0</v>
      </c>
      <c r="M521" t="s">
        <v>45</v>
      </c>
      <c r="N521" t="s">
        <v>45</v>
      </c>
      <c r="O521">
        <v>1</v>
      </c>
      <c r="P521">
        <v>17</v>
      </c>
    </row>
    <row r="522" spans="1:16" x14ac:dyDescent="0.4">
      <c r="A522" t="s">
        <v>571</v>
      </c>
      <c r="B522">
        <v>18</v>
      </c>
      <c r="C522" t="s">
        <v>56</v>
      </c>
      <c r="D522" t="s">
        <v>44</v>
      </c>
      <c r="E522" t="s">
        <v>47</v>
      </c>
      <c r="F522">
        <v>0</v>
      </c>
      <c r="G522" t="s">
        <v>46</v>
      </c>
      <c r="H522" t="s">
        <v>47</v>
      </c>
      <c r="I522" t="s">
        <v>47</v>
      </c>
      <c r="J522">
        <v>4.25</v>
      </c>
      <c r="K522">
        <v>0</v>
      </c>
      <c r="L522">
        <v>10</v>
      </c>
      <c r="M522" t="s">
        <v>45</v>
      </c>
      <c r="N522" t="s">
        <v>47</v>
      </c>
      <c r="O522">
        <v>2</v>
      </c>
      <c r="P522">
        <v>17</v>
      </c>
    </row>
    <row r="523" spans="1:16" x14ac:dyDescent="0.4">
      <c r="A523" t="s">
        <v>572</v>
      </c>
      <c r="B523">
        <v>18</v>
      </c>
      <c r="C523" t="s">
        <v>43</v>
      </c>
      <c r="D523" t="s">
        <v>44</v>
      </c>
      <c r="E523" t="s">
        <v>47</v>
      </c>
      <c r="F523">
        <v>0</v>
      </c>
      <c r="G523" t="s">
        <v>50</v>
      </c>
      <c r="H523" t="s">
        <v>45</v>
      </c>
      <c r="I523" t="s">
        <v>47</v>
      </c>
      <c r="J523">
        <v>3</v>
      </c>
      <c r="K523">
        <v>0</v>
      </c>
      <c r="L523">
        <v>6</v>
      </c>
      <c r="M523" t="s">
        <v>45</v>
      </c>
      <c r="N523" t="s">
        <v>47</v>
      </c>
      <c r="O523">
        <v>2</v>
      </c>
      <c r="P523">
        <v>10</v>
      </c>
    </row>
    <row r="524" spans="1:16" x14ac:dyDescent="0.4">
      <c r="A524" t="s">
        <v>573</v>
      </c>
      <c r="B524">
        <v>16</v>
      </c>
      <c r="C524" t="s">
        <v>56</v>
      </c>
      <c r="D524" t="s">
        <v>49</v>
      </c>
      <c r="E524" t="s">
        <v>45</v>
      </c>
      <c r="F524">
        <v>0</v>
      </c>
      <c r="G524" t="s">
        <v>50</v>
      </c>
      <c r="H524" t="s">
        <v>47</v>
      </c>
      <c r="I524" t="s">
        <v>45</v>
      </c>
      <c r="J524">
        <v>7.75</v>
      </c>
      <c r="K524">
        <v>0</v>
      </c>
      <c r="L524">
        <v>5</v>
      </c>
      <c r="M524" t="s">
        <v>45</v>
      </c>
      <c r="N524" t="s">
        <v>45</v>
      </c>
      <c r="O524">
        <v>1</v>
      </c>
      <c r="P524">
        <v>13</v>
      </c>
    </row>
    <row r="525" spans="1:16" x14ac:dyDescent="0.4">
      <c r="A525" t="s">
        <v>574</v>
      </c>
      <c r="B525">
        <v>18</v>
      </c>
      <c r="C525" t="s">
        <v>43</v>
      </c>
      <c r="D525" t="s">
        <v>49</v>
      </c>
      <c r="E525" t="s">
        <v>45</v>
      </c>
      <c r="F525">
        <v>0</v>
      </c>
      <c r="G525" t="s">
        <v>50</v>
      </c>
      <c r="H525" t="s">
        <v>47</v>
      </c>
      <c r="I525" t="s">
        <v>47</v>
      </c>
      <c r="J525">
        <v>0.75</v>
      </c>
      <c r="K525">
        <v>1</v>
      </c>
      <c r="L525">
        <v>2</v>
      </c>
      <c r="M525" t="s">
        <v>47</v>
      </c>
      <c r="N525" t="s">
        <v>45</v>
      </c>
      <c r="O525">
        <v>2</v>
      </c>
      <c r="P525">
        <v>9</v>
      </c>
    </row>
    <row r="526" spans="1:16" x14ac:dyDescent="0.4">
      <c r="A526" t="s">
        <v>575</v>
      </c>
      <c r="B526">
        <v>17</v>
      </c>
      <c r="C526" t="s">
        <v>56</v>
      </c>
      <c r="D526" t="s">
        <v>44</v>
      </c>
      <c r="E526" t="s">
        <v>47</v>
      </c>
      <c r="F526">
        <v>0</v>
      </c>
      <c r="G526" t="s">
        <v>46</v>
      </c>
      <c r="H526" t="s">
        <v>45</v>
      </c>
      <c r="I526" t="s">
        <v>47</v>
      </c>
      <c r="J526">
        <v>9</v>
      </c>
      <c r="K526">
        <v>0</v>
      </c>
      <c r="L526">
        <v>10</v>
      </c>
      <c r="M526" t="s">
        <v>45</v>
      </c>
      <c r="N526" t="s">
        <v>45</v>
      </c>
      <c r="O526">
        <v>1</v>
      </c>
      <c r="P526">
        <v>10</v>
      </c>
    </row>
    <row r="527" spans="1:16" x14ac:dyDescent="0.4">
      <c r="A527" t="s">
        <v>576</v>
      </c>
      <c r="B527">
        <v>15</v>
      </c>
      <c r="C527" t="s">
        <v>56</v>
      </c>
      <c r="D527" t="s">
        <v>44</v>
      </c>
      <c r="E527" t="s">
        <v>45</v>
      </c>
      <c r="F527">
        <v>0</v>
      </c>
      <c r="G527" t="s">
        <v>46</v>
      </c>
      <c r="H527" t="s">
        <v>47</v>
      </c>
      <c r="I527" t="s">
        <v>45</v>
      </c>
      <c r="J527">
        <v>12</v>
      </c>
      <c r="K527">
        <v>0</v>
      </c>
      <c r="L527">
        <v>4</v>
      </c>
      <c r="M527" t="s">
        <v>45</v>
      </c>
      <c r="N527" t="s">
        <v>47</v>
      </c>
      <c r="O527">
        <v>1</v>
      </c>
      <c r="P527">
        <v>10</v>
      </c>
    </row>
    <row r="528" spans="1:16" x14ac:dyDescent="0.4">
      <c r="A528" t="s">
        <v>577</v>
      </c>
      <c r="B528">
        <v>16</v>
      </c>
      <c r="C528" t="s">
        <v>56</v>
      </c>
      <c r="D528" t="s">
        <v>44</v>
      </c>
      <c r="E528" t="s">
        <v>45</v>
      </c>
      <c r="F528">
        <v>1</v>
      </c>
      <c r="G528" t="s">
        <v>46</v>
      </c>
      <c r="H528" t="s">
        <v>47</v>
      </c>
      <c r="I528" t="s">
        <v>45</v>
      </c>
      <c r="J528">
        <v>6.25</v>
      </c>
      <c r="K528">
        <v>0</v>
      </c>
      <c r="L528">
        <v>2</v>
      </c>
      <c r="M528" t="s">
        <v>45</v>
      </c>
      <c r="N528" t="s">
        <v>47</v>
      </c>
      <c r="O528">
        <v>1</v>
      </c>
      <c r="P528">
        <v>13</v>
      </c>
    </row>
    <row r="529" spans="1:16" x14ac:dyDescent="0.4">
      <c r="A529" t="s">
        <v>578</v>
      </c>
      <c r="B529">
        <v>17</v>
      </c>
      <c r="C529" t="s">
        <v>43</v>
      </c>
      <c r="D529" t="s">
        <v>49</v>
      </c>
      <c r="E529" t="s">
        <v>47</v>
      </c>
      <c r="F529">
        <v>0</v>
      </c>
      <c r="G529" t="s">
        <v>50</v>
      </c>
      <c r="H529" t="s">
        <v>47</v>
      </c>
      <c r="I529" t="s">
        <v>47</v>
      </c>
      <c r="J529">
        <v>14</v>
      </c>
      <c r="K529">
        <v>1</v>
      </c>
      <c r="L529">
        <v>2</v>
      </c>
      <c r="M529" t="s">
        <v>45</v>
      </c>
      <c r="N529" t="s">
        <v>47</v>
      </c>
      <c r="O529">
        <v>4</v>
      </c>
      <c r="P529">
        <v>9</v>
      </c>
    </row>
    <row r="530" spans="1:16" x14ac:dyDescent="0.4">
      <c r="A530" t="s">
        <v>579</v>
      </c>
      <c r="B530">
        <v>16</v>
      </c>
      <c r="C530" t="s">
        <v>43</v>
      </c>
      <c r="D530" t="s">
        <v>44</v>
      </c>
      <c r="E530" t="s">
        <v>47</v>
      </c>
      <c r="F530">
        <v>2</v>
      </c>
      <c r="G530" t="s">
        <v>50</v>
      </c>
      <c r="H530" t="s">
        <v>47</v>
      </c>
      <c r="I530" t="s">
        <v>47</v>
      </c>
      <c r="J530">
        <v>0.5</v>
      </c>
      <c r="K530">
        <v>0</v>
      </c>
      <c r="L530">
        <v>0</v>
      </c>
      <c r="M530" t="s">
        <v>45</v>
      </c>
      <c r="N530" t="s">
        <v>47</v>
      </c>
      <c r="O530">
        <v>3</v>
      </c>
      <c r="P530">
        <v>12</v>
      </c>
    </row>
    <row r="531" spans="1:16" x14ac:dyDescent="0.4">
      <c r="A531" t="s">
        <v>580</v>
      </c>
      <c r="B531">
        <v>16</v>
      </c>
      <c r="C531" t="s">
        <v>56</v>
      </c>
      <c r="D531" t="s">
        <v>44</v>
      </c>
      <c r="E531" t="s">
        <v>45</v>
      </c>
      <c r="F531">
        <v>1</v>
      </c>
      <c r="G531" t="s">
        <v>46</v>
      </c>
      <c r="H531" t="s">
        <v>47</v>
      </c>
      <c r="I531" t="s">
        <v>47</v>
      </c>
      <c r="J531">
        <v>0</v>
      </c>
      <c r="K531">
        <v>0</v>
      </c>
      <c r="L531">
        <v>12</v>
      </c>
      <c r="M531" t="s">
        <v>45</v>
      </c>
      <c r="N531" t="s">
        <v>47</v>
      </c>
      <c r="O531">
        <v>2</v>
      </c>
      <c r="P531">
        <v>14</v>
      </c>
    </row>
    <row r="532" spans="1:16" x14ac:dyDescent="0.4">
      <c r="A532" t="s">
        <v>581</v>
      </c>
      <c r="B532">
        <v>16</v>
      </c>
      <c r="C532" t="s">
        <v>43</v>
      </c>
      <c r="D532" t="s">
        <v>44</v>
      </c>
      <c r="E532" t="s">
        <v>45</v>
      </c>
      <c r="F532">
        <v>0</v>
      </c>
      <c r="G532" t="s">
        <v>46</v>
      </c>
      <c r="H532" t="s">
        <v>47</v>
      </c>
      <c r="I532" t="s">
        <v>47</v>
      </c>
      <c r="J532">
        <v>0.25</v>
      </c>
      <c r="K532">
        <v>1</v>
      </c>
      <c r="L532">
        <v>2</v>
      </c>
      <c r="M532" t="s">
        <v>47</v>
      </c>
      <c r="N532" t="s">
        <v>47</v>
      </c>
      <c r="O532">
        <v>2</v>
      </c>
      <c r="P532">
        <v>8</v>
      </c>
    </row>
    <row r="533" spans="1:16" x14ac:dyDescent="0.4">
      <c r="A533" t="s">
        <v>582</v>
      </c>
      <c r="B533">
        <v>17</v>
      </c>
      <c r="C533" t="s">
        <v>56</v>
      </c>
      <c r="D533" t="s">
        <v>44</v>
      </c>
      <c r="E533" t="s">
        <v>45</v>
      </c>
      <c r="F533">
        <v>0</v>
      </c>
      <c r="G533" t="s">
        <v>46</v>
      </c>
      <c r="H533" t="s">
        <v>47</v>
      </c>
      <c r="I533" t="s">
        <v>47</v>
      </c>
      <c r="J533">
        <v>3</v>
      </c>
      <c r="K533">
        <v>0</v>
      </c>
      <c r="L533">
        <v>4</v>
      </c>
      <c r="M533" t="s">
        <v>45</v>
      </c>
      <c r="N533" t="s">
        <v>47</v>
      </c>
      <c r="O533">
        <v>1</v>
      </c>
      <c r="P533">
        <v>11</v>
      </c>
    </row>
    <row r="534" spans="1:16" x14ac:dyDescent="0.4">
      <c r="A534" t="s">
        <v>583</v>
      </c>
      <c r="B534">
        <v>16</v>
      </c>
      <c r="C534" t="s">
        <v>43</v>
      </c>
      <c r="D534" t="s">
        <v>44</v>
      </c>
      <c r="E534" t="s">
        <v>45</v>
      </c>
      <c r="F534">
        <v>2</v>
      </c>
      <c r="G534" t="s">
        <v>46</v>
      </c>
      <c r="H534" t="s">
        <v>47</v>
      </c>
      <c r="I534" t="s">
        <v>47</v>
      </c>
      <c r="J534">
        <v>0.5</v>
      </c>
      <c r="K534">
        <v>0</v>
      </c>
      <c r="L534">
        <v>16</v>
      </c>
      <c r="M534" t="s">
        <v>47</v>
      </c>
      <c r="N534" t="s">
        <v>45</v>
      </c>
      <c r="O534">
        <v>2</v>
      </c>
      <c r="P534">
        <v>8</v>
      </c>
    </row>
    <row r="535" spans="1:16" x14ac:dyDescent="0.4">
      <c r="A535" t="s">
        <v>584</v>
      </c>
      <c r="B535">
        <v>17</v>
      </c>
      <c r="C535" t="s">
        <v>56</v>
      </c>
      <c r="D535" t="s">
        <v>49</v>
      </c>
      <c r="E535" t="s">
        <v>45</v>
      </c>
      <c r="F535">
        <v>0</v>
      </c>
      <c r="G535" t="s">
        <v>50</v>
      </c>
      <c r="H535" t="s">
        <v>45</v>
      </c>
      <c r="I535" t="s">
        <v>47</v>
      </c>
      <c r="J535">
        <v>2</v>
      </c>
      <c r="K535">
        <v>3</v>
      </c>
      <c r="L535">
        <v>2</v>
      </c>
      <c r="M535" t="s">
        <v>45</v>
      </c>
      <c r="N535" t="s">
        <v>45</v>
      </c>
      <c r="O535">
        <v>1</v>
      </c>
      <c r="P535">
        <v>10</v>
      </c>
    </row>
    <row r="536" spans="1:16" x14ac:dyDescent="0.4">
      <c r="A536" t="s">
        <v>585</v>
      </c>
      <c r="B536">
        <v>18</v>
      </c>
      <c r="C536" t="s">
        <v>56</v>
      </c>
      <c r="D536" t="s">
        <v>44</v>
      </c>
      <c r="E536" t="s">
        <v>45</v>
      </c>
      <c r="F536">
        <v>0</v>
      </c>
      <c r="G536" t="s">
        <v>46</v>
      </c>
      <c r="H536" t="s">
        <v>45</v>
      </c>
      <c r="I536" t="s">
        <v>45</v>
      </c>
      <c r="J536">
        <v>4</v>
      </c>
      <c r="K536">
        <v>0</v>
      </c>
      <c r="L536">
        <v>0</v>
      </c>
      <c r="M536" t="s">
        <v>45</v>
      </c>
      <c r="N536" t="s">
        <v>47</v>
      </c>
      <c r="O536">
        <v>1</v>
      </c>
      <c r="P536">
        <v>13</v>
      </c>
    </row>
    <row r="537" spans="1:16" x14ac:dyDescent="0.4">
      <c r="A537" t="s">
        <v>586</v>
      </c>
      <c r="B537">
        <v>15</v>
      </c>
      <c r="C537" t="s">
        <v>43</v>
      </c>
      <c r="D537" t="s">
        <v>44</v>
      </c>
      <c r="E537" t="s">
        <v>45</v>
      </c>
      <c r="F537">
        <v>2</v>
      </c>
      <c r="G537" t="s">
        <v>46</v>
      </c>
      <c r="H537" t="s">
        <v>47</v>
      </c>
      <c r="I537" t="s">
        <v>47</v>
      </c>
      <c r="J537">
        <v>4.25</v>
      </c>
      <c r="K537">
        <v>0</v>
      </c>
      <c r="L537">
        <v>0</v>
      </c>
      <c r="M537" t="s">
        <v>45</v>
      </c>
      <c r="N537" t="s">
        <v>47</v>
      </c>
      <c r="O537">
        <v>3</v>
      </c>
      <c r="P537">
        <v>11</v>
      </c>
    </row>
    <row r="538" spans="1:16" x14ac:dyDescent="0.4">
      <c r="A538" t="s">
        <v>587</v>
      </c>
      <c r="B538">
        <v>16</v>
      </c>
      <c r="C538" t="s">
        <v>56</v>
      </c>
      <c r="D538" t="s">
        <v>44</v>
      </c>
      <c r="E538" t="s">
        <v>45</v>
      </c>
      <c r="F538">
        <v>0</v>
      </c>
      <c r="G538" t="s">
        <v>46</v>
      </c>
      <c r="H538" t="s">
        <v>45</v>
      </c>
      <c r="I538" t="s">
        <v>47</v>
      </c>
      <c r="J538">
        <v>2</v>
      </c>
      <c r="K538">
        <v>0</v>
      </c>
      <c r="L538">
        <v>0</v>
      </c>
      <c r="M538" t="s">
        <v>45</v>
      </c>
      <c r="N538" t="s">
        <v>45</v>
      </c>
      <c r="O538">
        <v>1</v>
      </c>
      <c r="P538">
        <v>13</v>
      </c>
    </row>
    <row r="539" spans="1:16" x14ac:dyDescent="0.4">
      <c r="A539" t="s">
        <v>588</v>
      </c>
      <c r="B539">
        <v>18</v>
      </c>
      <c r="C539" t="s">
        <v>43</v>
      </c>
      <c r="D539" t="s">
        <v>49</v>
      </c>
      <c r="E539" t="s">
        <v>45</v>
      </c>
      <c r="F539">
        <v>0</v>
      </c>
      <c r="G539" t="s">
        <v>50</v>
      </c>
      <c r="H539" t="s">
        <v>47</v>
      </c>
      <c r="I539" t="s">
        <v>47</v>
      </c>
      <c r="J539">
        <v>0</v>
      </c>
      <c r="K539">
        <v>0</v>
      </c>
      <c r="L539">
        <v>8</v>
      </c>
      <c r="M539" t="s">
        <v>45</v>
      </c>
      <c r="N539" t="s">
        <v>47</v>
      </c>
      <c r="O539">
        <v>5</v>
      </c>
      <c r="P539">
        <v>11</v>
      </c>
    </row>
    <row r="540" spans="1:16" x14ac:dyDescent="0.4">
      <c r="A540" t="s">
        <v>589</v>
      </c>
      <c r="B540">
        <v>16</v>
      </c>
      <c r="C540" t="s">
        <v>43</v>
      </c>
      <c r="D540" t="s">
        <v>44</v>
      </c>
      <c r="E540" t="s">
        <v>45</v>
      </c>
      <c r="F540">
        <v>2</v>
      </c>
      <c r="G540" t="s">
        <v>46</v>
      </c>
      <c r="H540" t="s">
        <v>45</v>
      </c>
      <c r="I540" t="s">
        <v>45</v>
      </c>
      <c r="J540">
        <v>0.75</v>
      </c>
      <c r="K540">
        <v>0</v>
      </c>
      <c r="L540">
        <v>12</v>
      </c>
      <c r="M540" t="s">
        <v>45</v>
      </c>
      <c r="N540" t="s">
        <v>47</v>
      </c>
      <c r="O540">
        <v>5</v>
      </c>
      <c r="P540">
        <v>8</v>
      </c>
    </row>
    <row r="541" spans="1:16" x14ac:dyDescent="0.4">
      <c r="A541" t="s">
        <v>590</v>
      </c>
      <c r="B541">
        <v>18</v>
      </c>
      <c r="C541" t="s">
        <v>56</v>
      </c>
      <c r="D541" t="s">
        <v>49</v>
      </c>
      <c r="E541" t="s">
        <v>45</v>
      </c>
      <c r="F541">
        <v>0</v>
      </c>
      <c r="G541" t="s">
        <v>50</v>
      </c>
      <c r="H541" t="s">
        <v>47</v>
      </c>
      <c r="I541" t="s">
        <v>47</v>
      </c>
      <c r="J541">
        <v>2.75</v>
      </c>
      <c r="K541">
        <v>1</v>
      </c>
      <c r="L541">
        <v>9</v>
      </c>
      <c r="M541" t="s">
        <v>45</v>
      </c>
      <c r="N541" t="s">
        <v>45</v>
      </c>
      <c r="O541">
        <v>1</v>
      </c>
      <c r="P541">
        <v>7</v>
      </c>
    </row>
    <row r="542" spans="1:16" x14ac:dyDescent="0.4">
      <c r="A542" t="s">
        <v>591</v>
      </c>
      <c r="B542">
        <v>18</v>
      </c>
      <c r="C542" t="s">
        <v>43</v>
      </c>
      <c r="D542" t="s">
        <v>44</v>
      </c>
      <c r="E542" t="s">
        <v>45</v>
      </c>
      <c r="F542">
        <v>0</v>
      </c>
      <c r="G542" t="s">
        <v>46</v>
      </c>
      <c r="H542" t="s">
        <v>45</v>
      </c>
      <c r="I542" t="s">
        <v>47</v>
      </c>
      <c r="J542">
        <v>2</v>
      </c>
      <c r="K542">
        <v>0</v>
      </c>
      <c r="L542">
        <v>10</v>
      </c>
      <c r="M542" t="s">
        <v>45</v>
      </c>
      <c r="N542" t="s">
        <v>47</v>
      </c>
      <c r="O542">
        <v>3</v>
      </c>
      <c r="P542">
        <v>11</v>
      </c>
    </row>
    <row r="543" spans="1:16" x14ac:dyDescent="0.4">
      <c r="A543" t="s">
        <v>592</v>
      </c>
      <c r="B543">
        <v>18</v>
      </c>
      <c r="C543" t="s">
        <v>43</v>
      </c>
      <c r="D543" t="s">
        <v>44</v>
      </c>
      <c r="E543" t="s">
        <v>47</v>
      </c>
      <c r="F543">
        <v>0</v>
      </c>
      <c r="G543" t="s">
        <v>46</v>
      </c>
      <c r="H543" t="s">
        <v>45</v>
      </c>
      <c r="I543" t="s">
        <v>47</v>
      </c>
      <c r="J543">
        <v>4.25</v>
      </c>
      <c r="K543">
        <v>1</v>
      </c>
      <c r="L543">
        <v>4</v>
      </c>
      <c r="M543" t="s">
        <v>47</v>
      </c>
      <c r="N543" t="s">
        <v>47</v>
      </c>
      <c r="O543">
        <v>4</v>
      </c>
      <c r="P543">
        <v>11</v>
      </c>
    </row>
    <row r="544" spans="1:16" x14ac:dyDescent="0.4">
      <c r="A544" t="s">
        <v>593</v>
      </c>
      <c r="B544">
        <v>19</v>
      </c>
      <c r="C544" t="s">
        <v>56</v>
      </c>
      <c r="D544" t="s">
        <v>44</v>
      </c>
      <c r="E544" t="s">
        <v>47</v>
      </c>
      <c r="F544">
        <v>0</v>
      </c>
      <c r="G544" t="s">
        <v>50</v>
      </c>
      <c r="H544" t="s">
        <v>47</v>
      </c>
      <c r="I544" t="s">
        <v>47</v>
      </c>
      <c r="J544">
        <v>6</v>
      </c>
      <c r="K544">
        <v>0</v>
      </c>
      <c r="L544">
        <v>0</v>
      </c>
      <c r="M544" t="s">
        <v>45</v>
      </c>
      <c r="N544" t="s">
        <v>45</v>
      </c>
      <c r="O544">
        <v>1</v>
      </c>
      <c r="P544">
        <v>13</v>
      </c>
    </row>
    <row r="545" spans="1:16" x14ac:dyDescent="0.4">
      <c r="A545" t="s">
        <v>594</v>
      </c>
      <c r="B545">
        <v>17</v>
      </c>
      <c r="C545" t="s">
        <v>56</v>
      </c>
      <c r="D545" t="s">
        <v>49</v>
      </c>
      <c r="E545" t="s">
        <v>45</v>
      </c>
      <c r="F545">
        <v>0</v>
      </c>
      <c r="G545" t="s">
        <v>50</v>
      </c>
      <c r="H545" t="s">
        <v>45</v>
      </c>
      <c r="I545" t="s">
        <v>47</v>
      </c>
      <c r="J545">
        <v>0.75</v>
      </c>
      <c r="K545">
        <v>0</v>
      </c>
      <c r="L545">
        <v>3</v>
      </c>
      <c r="M545" t="s">
        <v>47</v>
      </c>
      <c r="N545" t="s">
        <v>45</v>
      </c>
      <c r="O545">
        <v>2</v>
      </c>
      <c r="P545">
        <v>10</v>
      </c>
    </row>
    <row r="546" spans="1:16" x14ac:dyDescent="0.4">
      <c r="A546" t="s">
        <v>595</v>
      </c>
      <c r="B546">
        <v>17</v>
      </c>
      <c r="C546" t="s">
        <v>56</v>
      </c>
      <c r="D546" t="s">
        <v>49</v>
      </c>
      <c r="E546" t="s">
        <v>45</v>
      </c>
      <c r="F546">
        <v>0</v>
      </c>
      <c r="G546" t="s">
        <v>50</v>
      </c>
      <c r="H546" t="s">
        <v>47</v>
      </c>
      <c r="I546" t="s">
        <v>47</v>
      </c>
      <c r="J546">
        <v>4</v>
      </c>
      <c r="K546">
        <v>0</v>
      </c>
      <c r="L546">
        <v>0</v>
      </c>
      <c r="M546" t="s">
        <v>45</v>
      </c>
      <c r="N546" t="s">
        <v>47</v>
      </c>
      <c r="O546">
        <v>1</v>
      </c>
      <c r="P546">
        <v>11</v>
      </c>
    </row>
    <row r="547" spans="1:16" x14ac:dyDescent="0.4">
      <c r="A547" t="s">
        <v>596</v>
      </c>
      <c r="B547">
        <v>16</v>
      </c>
      <c r="C547" t="s">
        <v>56</v>
      </c>
      <c r="D547" t="s">
        <v>44</v>
      </c>
      <c r="E547" t="s">
        <v>47</v>
      </c>
      <c r="F547">
        <v>0</v>
      </c>
      <c r="G547" t="s">
        <v>46</v>
      </c>
      <c r="H547" t="s">
        <v>45</v>
      </c>
      <c r="I547" t="s">
        <v>45</v>
      </c>
      <c r="J547">
        <v>3.25</v>
      </c>
      <c r="K547">
        <v>0</v>
      </c>
      <c r="L547">
        <v>0</v>
      </c>
      <c r="M547" t="s">
        <v>45</v>
      </c>
      <c r="N547" t="s">
        <v>47</v>
      </c>
      <c r="O547">
        <v>1</v>
      </c>
      <c r="P547">
        <v>10</v>
      </c>
    </row>
    <row r="548" spans="1:16" x14ac:dyDescent="0.4">
      <c r="A548" t="s">
        <v>597</v>
      </c>
      <c r="B548">
        <v>16</v>
      </c>
      <c r="C548" t="s">
        <v>43</v>
      </c>
      <c r="D548" t="s">
        <v>49</v>
      </c>
      <c r="E548" t="s">
        <v>45</v>
      </c>
      <c r="F548">
        <v>2</v>
      </c>
      <c r="G548" t="s">
        <v>46</v>
      </c>
      <c r="H548" t="s">
        <v>45</v>
      </c>
      <c r="I548" t="s">
        <v>47</v>
      </c>
      <c r="J548">
        <v>9.75</v>
      </c>
      <c r="K548">
        <v>0</v>
      </c>
      <c r="L548">
        <v>4</v>
      </c>
      <c r="M548" t="s">
        <v>45</v>
      </c>
      <c r="N548" t="s">
        <v>45</v>
      </c>
      <c r="O548">
        <v>1</v>
      </c>
      <c r="P548">
        <v>13</v>
      </c>
    </row>
    <row r="549" spans="1:16" x14ac:dyDescent="0.4">
      <c r="A549" t="s">
        <v>598</v>
      </c>
      <c r="B549">
        <v>17</v>
      </c>
      <c r="C549" t="s">
        <v>43</v>
      </c>
      <c r="D549" t="s">
        <v>49</v>
      </c>
      <c r="E549" t="s">
        <v>45</v>
      </c>
      <c r="F549">
        <v>0</v>
      </c>
      <c r="G549" t="s">
        <v>46</v>
      </c>
      <c r="H549" t="s">
        <v>47</v>
      </c>
      <c r="I549" t="s">
        <v>47</v>
      </c>
      <c r="J549">
        <v>3.5</v>
      </c>
      <c r="K549">
        <v>0</v>
      </c>
      <c r="L549">
        <v>6</v>
      </c>
      <c r="M549" t="s">
        <v>45</v>
      </c>
      <c r="N549" t="s">
        <v>47</v>
      </c>
      <c r="O549">
        <v>2</v>
      </c>
      <c r="P549">
        <v>10</v>
      </c>
    </row>
    <row r="550" spans="1:16" x14ac:dyDescent="0.4">
      <c r="A550" t="s">
        <v>599</v>
      </c>
      <c r="B550">
        <v>16</v>
      </c>
      <c r="C550" t="s">
        <v>43</v>
      </c>
      <c r="D550" t="s">
        <v>44</v>
      </c>
      <c r="E550" t="s">
        <v>47</v>
      </c>
      <c r="F550">
        <v>0</v>
      </c>
      <c r="G550" t="s">
        <v>50</v>
      </c>
      <c r="H550" t="s">
        <v>47</v>
      </c>
      <c r="I550" t="s">
        <v>47</v>
      </c>
      <c r="J550">
        <v>9.25</v>
      </c>
      <c r="K550">
        <v>0</v>
      </c>
      <c r="L550">
        <v>0</v>
      </c>
      <c r="M550" t="s">
        <v>45</v>
      </c>
      <c r="N550" t="s">
        <v>47</v>
      </c>
      <c r="O550">
        <v>2</v>
      </c>
      <c r="P550">
        <v>10</v>
      </c>
    </row>
    <row r="551" spans="1:16" x14ac:dyDescent="0.4">
      <c r="A551" t="s">
        <v>600</v>
      </c>
      <c r="B551">
        <v>16</v>
      </c>
      <c r="C551" t="s">
        <v>56</v>
      </c>
      <c r="D551" t="s">
        <v>44</v>
      </c>
      <c r="E551" t="s">
        <v>45</v>
      </c>
      <c r="F551">
        <v>0</v>
      </c>
      <c r="G551" t="s">
        <v>46</v>
      </c>
      <c r="H551" t="s">
        <v>47</v>
      </c>
      <c r="I551" t="s">
        <v>47</v>
      </c>
      <c r="J551">
        <v>2</v>
      </c>
      <c r="K551">
        <v>0</v>
      </c>
      <c r="L551">
        <v>2</v>
      </c>
      <c r="M551" t="s">
        <v>45</v>
      </c>
      <c r="N551" t="s">
        <v>47</v>
      </c>
      <c r="O551">
        <v>2</v>
      </c>
      <c r="P551">
        <v>12</v>
      </c>
    </row>
    <row r="552" spans="1:16" x14ac:dyDescent="0.4">
      <c r="A552" t="s">
        <v>601</v>
      </c>
      <c r="B552">
        <v>16</v>
      </c>
      <c r="C552" t="s">
        <v>56</v>
      </c>
      <c r="D552" t="s">
        <v>49</v>
      </c>
      <c r="E552" t="s">
        <v>45</v>
      </c>
      <c r="F552">
        <v>0</v>
      </c>
      <c r="G552" t="s">
        <v>50</v>
      </c>
      <c r="H552" t="s">
        <v>45</v>
      </c>
      <c r="I552" t="s">
        <v>47</v>
      </c>
      <c r="J552">
        <v>4.25</v>
      </c>
      <c r="K552">
        <v>0</v>
      </c>
      <c r="L552">
        <v>1</v>
      </c>
      <c r="M552" t="s">
        <v>45</v>
      </c>
      <c r="N552" t="s">
        <v>47</v>
      </c>
      <c r="O552">
        <v>1</v>
      </c>
      <c r="P552">
        <v>14</v>
      </c>
    </row>
    <row r="553" spans="1:16" x14ac:dyDescent="0.4">
      <c r="A553" t="s">
        <v>602</v>
      </c>
      <c r="B553">
        <v>17</v>
      </c>
      <c r="C553" t="s">
        <v>56</v>
      </c>
      <c r="D553" t="s">
        <v>49</v>
      </c>
      <c r="E553" t="s">
        <v>45</v>
      </c>
      <c r="F553">
        <v>0</v>
      </c>
      <c r="G553" t="s">
        <v>50</v>
      </c>
      <c r="H553" t="s">
        <v>47</v>
      </c>
      <c r="I553" t="s">
        <v>47</v>
      </c>
      <c r="J553">
        <v>1.5</v>
      </c>
      <c r="K553">
        <v>0</v>
      </c>
      <c r="L553">
        <v>2</v>
      </c>
      <c r="M553" t="s">
        <v>45</v>
      </c>
      <c r="N553" t="s">
        <v>47</v>
      </c>
      <c r="O553">
        <v>2</v>
      </c>
      <c r="P553">
        <v>12</v>
      </c>
    </row>
    <row r="554" spans="1:16" x14ac:dyDescent="0.4">
      <c r="A554" t="s">
        <v>603</v>
      </c>
      <c r="B554">
        <v>16</v>
      </c>
      <c r="C554" t="s">
        <v>56</v>
      </c>
      <c r="D554" t="s">
        <v>49</v>
      </c>
      <c r="E554" t="s">
        <v>45</v>
      </c>
      <c r="F554">
        <v>0</v>
      </c>
      <c r="G554" t="s">
        <v>46</v>
      </c>
      <c r="H554" t="s">
        <v>47</v>
      </c>
      <c r="I554" t="s">
        <v>47</v>
      </c>
      <c r="J554">
        <v>3.25</v>
      </c>
      <c r="K554">
        <v>0</v>
      </c>
      <c r="L554">
        <v>0</v>
      </c>
      <c r="M554" t="s">
        <v>45</v>
      </c>
      <c r="N554" t="s">
        <v>47</v>
      </c>
      <c r="O554">
        <v>1</v>
      </c>
      <c r="P554">
        <v>13</v>
      </c>
    </row>
    <row r="555" spans="1:16" x14ac:dyDescent="0.4">
      <c r="A555" t="s">
        <v>604</v>
      </c>
      <c r="B555">
        <v>22</v>
      </c>
      <c r="C555" t="s">
        <v>43</v>
      </c>
      <c r="D555" t="s">
        <v>44</v>
      </c>
      <c r="E555" t="s">
        <v>45</v>
      </c>
      <c r="F555">
        <v>0</v>
      </c>
      <c r="G555" t="s">
        <v>46</v>
      </c>
      <c r="H555" t="s">
        <v>47</v>
      </c>
      <c r="I555" t="s">
        <v>47</v>
      </c>
      <c r="J555">
        <v>1</v>
      </c>
      <c r="K555">
        <v>3</v>
      </c>
      <c r="L555">
        <v>12</v>
      </c>
      <c r="M555" t="s">
        <v>47</v>
      </c>
      <c r="N555" t="s">
        <v>45</v>
      </c>
      <c r="O555">
        <v>5</v>
      </c>
      <c r="P555">
        <v>5</v>
      </c>
    </row>
    <row r="556" spans="1:16" x14ac:dyDescent="0.4">
      <c r="A556" t="s">
        <v>605</v>
      </c>
      <c r="B556">
        <v>18</v>
      </c>
      <c r="C556" t="s">
        <v>56</v>
      </c>
      <c r="D556" t="s">
        <v>49</v>
      </c>
      <c r="E556" t="s">
        <v>45</v>
      </c>
      <c r="F556">
        <v>0</v>
      </c>
      <c r="G556" t="s">
        <v>50</v>
      </c>
      <c r="H556" t="s">
        <v>47</v>
      </c>
      <c r="I556" t="s">
        <v>47</v>
      </c>
      <c r="J556">
        <v>8.75</v>
      </c>
      <c r="K556">
        <v>0</v>
      </c>
      <c r="L556">
        <v>4</v>
      </c>
      <c r="M556" t="s">
        <v>45</v>
      </c>
      <c r="N556" t="s">
        <v>47</v>
      </c>
      <c r="O556">
        <v>1</v>
      </c>
      <c r="P556">
        <v>12</v>
      </c>
    </row>
    <row r="557" spans="1:16" x14ac:dyDescent="0.4">
      <c r="A557" t="s">
        <v>606</v>
      </c>
      <c r="B557">
        <v>15</v>
      </c>
      <c r="C557" t="s">
        <v>43</v>
      </c>
      <c r="D557" t="s">
        <v>44</v>
      </c>
      <c r="E557" t="s">
        <v>47</v>
      </c>
      <c r="F557">
        <v>2</v>
      </c>
      <c r="G557" t="s">
        <v>46</v>
      </c>
      <c r="H557" t="s">
        <v>45</v>
      </c>
      <c r="I557" t="s">
        <v>47</v>
      </c>
      <c r="J557">
        <v>0</v>
      </c>
      <c r="K557">
        <v>0</v>
      </c>
      <c r="L557">
        <v>4</v>
      </c>
      <c r="M557" t="s">
        <v>45</v>
      </c>
      <c r="N557" t="s">
        <v>47</v>
      </c>
      <c r="O557">
        <v>1</v>
      </c>
      <c r="P557">
        <v>14</v>
      </c>
    </row>
    <row r="558" spans="1:16" x14ac:dyDescent="0.4">
      <c r="A558" t="s">
        <v>607</v>
      </c>
      <c r="B558">
        <v>18</v>
      </c>
      <c r="C558" t="s">
        <v>56</v>
      </c>
      <c r="D558" t="s">
        <v>44</v>
      </c>
      <c r="E558" t="s">
        <v>45</v>
      </c>
      <c r="F558">
        <v>1</v>
      </c>
      <c r="G558" t="s">
        <v>46</v>
      </c>
      <c r="H558" t="s">
        <v>47</v>
      </c>
      <c r="I558" t="s">
        <v>45</v>
      </c>
      <c r="J558">
        <v>4.25</v>
      </c>
      <c r="K558">
        <v>0</v>
      </c>
      <c r="L558">
        <v>2</v>
      </c>
      <c r="M558" t="s">
        <v>45</v>
      </c>
      <c r="N558" t="s">
        <v>45</v>
      </c>
      <c r="O558">
        <v>1</v>
      </c>
      <c r="P558">
        <v>11</v>
      </c>
    </row>
    <row r="559" spans="1:16" x14ac:dyDescent="0.4">
      <c r="A559" t="s">
        <v>608</v>
      </c>
      <c r="B559">
        <v>16</v>
      </c>
      <c r="C559" t="s">
        <v>56</v>
      </c>
      <c r="D559" t="s">
        <v>44</v>
      </c>
      <c r="E559" t="s">
        <v>47</v>
      </c>
      <c r="F559">
        <v>2</v>
      </c>
      <c r="G559" t="s">
        <v>46</v>
      </c>
      <c r="H559" t="s">
        <v>45</v>
      </c>
      <c r="I559" t="s">
        <v>47</v>
      </c>
      <c r="J559">
        <v>5.5</v>
      </c>
      <c r="K559">
        <v>0</v>
      </c>
      <c r="L559">
        <v>2</v>
      </c>
      <c r="M559" t="s">
        <v>45</v>
      </c>
      <c r="N559" t="s">
        <v>45</v>
      </c>
      <c r="O559">
        <v>1</v>
      </c>
      <c r="P559">
        <v>14</v>
      </c>
    </row>
    <row r="560" spans="1:16" x14ac:dyDescent="0.4">
      <c r="A560" t="s">
        <v>609</v>
      </c>
      <c r="B560">
        <v>18</v>
      </c>
      <c r="C560" t="s">
        <v>56</v>
      </c>
      <c r="D560" t="s">
        <v>44</v>
      </c>
      <c r="E560" t="s">
        <v>47</v>
      </c>
      <c r="F560">
        <v>1</v>
      </c>
      <c r="G560" t="s">
        <v>46</v>
      </c>
      <c r="H560" t="s">
        <v>45</v>
      </c>
      <c r="I560" t="s">
        <v>47</v>
      </c>
      <c r="J560">
        <v>2.75</v>
      </c>
      <c r="K560">
        <v>0</v>
      </c>
      <c r="L560">
        <v>0</v>
      </c>
      <c r="M560" t="s">
        <v>45</v>
      </c>
      <c r="N560" t="s">
        <v>47</v>
      </c>
      <c r="O560">
        <v>1</v>
      </c>
      <c r="P560">
        <v>17</v>
      </c>
    </row>
    <row r="561" spans="1:16" x14ac:dyDescent="0.4">
      <c r="A561" t="s">
        <v>610</v>
      </c>
      <c r="B561">
        <v>20</v>
      </c>
      <c r="C561" t="s">
        <v>56</v>
      </c>
      <c r="D561" t="s">
        <v>49</v>
      </c>
      <c r="E561" t="s">
        <v>45</v>
      </c>
      <c r="F561">
        <v>0</v>
      </c>
      <c r="G561" t="s">
        <v>46</v>
      </c>
      <c r="H561" t="s">
        <v>47</v>
      </c>
      <c r="I561" t="s">
        <v>47</v>
      </c>
      <c r="J561">
        <v>7.5</v>
      </c>
      <c r="K561">
        <v>0</v>
      </c>
      <c r="L561">
        <v>8</v>
      </c>
      <c r="M561" t="s">
        <v>45</v>
      </c>
      <c r="N561" t="s">
        <v>45</v>
      </c>
      <c r="O561">
        <v>2</v>
      </c>
      <c r="P561">
        <v>15</v>
      </c>
    </row>
    <row r="562" spans="1:16" x14ac:dyDescent="0.4">
      <c r="A562" t="s">
        <v>611</v>
      </c>
      <c r="B562">
        <v>18</v>
      </c>
      <c r="C562" t="s">
        <v>56</v>
      </c>
      <c r="D562" t="s">
        <v>44</v>
      </c>
      <c r="E562" t="s">
        <v>45</v>
      </c>
      <c r="F562">
        <v>0</v>
      </c>
      <c r="G562" t="s">
        <v>50</v>
      </c>
      <c r="H562" t="s">
        <v>47</v>
      </c>
      <c r="I562" t="s">
        <v>47</v>
      </c>
      <c r="J562">
        <v>3.75</v>
      </c>
      <c r="K562">
        <v>1</v>
      </c>
      <c r="L562">
        <v>2</v>
      </c>
      <c r="M562" t="s">
        <v>47</v>
      </c>
      <c r="N562" t="s">
        <v>47</v>
      </c>
      <c r="O562">
        <v>1</v>
      </c>
      <c r="P562">
        <v>10</v>
      </c>
    </row>
    <row r="563" spans="1:16" x14ac:dyDescent="0.4">
      <c r="A563" t="s">
        <v>612</v>
      </c>
      <c r="B563">
        <v>18</v>
      </c>
      <c r="C563" t="s">
        <v>43</v>
      </c>
      <c r="D563" t="s">
        <v>44</v>
      </c>
      <c r="E563" t="s">
        <v>45</v>
      </c>
      <c r="F563">
        <v>2</v>
      </c>
      <c r="G563" t="s">
        <v>46</v>
      </c>
      <c r="H563" t="s">
        <v>45</v>
      </c>
      <c r="I563" t="s">
        <v>47</v>
      </c>
      <c r="J563">
        <v>7.5</v>
      </c>
      <c r="K563">
        <v>0</v>
      </c>
      <c r="L563">
        <v>0</v>
      </c>
      <c r="M563" t="s">
        <v>45</v>
      </c>
      <c r="N563" t="s">
        <v>47</v>
      </c>
      <c r="O563">
        <v>2</v>
      </c>
      <c r="P563">
        <v>13</v>
      </c>
    </row>
    <row r="564" spans="1:16" x14ac:dyDescent="0.4">
      <c r="A564" t="s">
        <v>613</v>
      </c>
      <c r="B564">
        <v>16</v>
      </c>
      <c r="C564" t="s">
        <v>56</v>
      </c>
      <c r="D564" t="s">
        <v>44</v>
      </c>
      <c r="E564" t="s">
        <v>45</v>
      </c>
      <c r="F564">
        <v>0</v>
      </c>
      <c r="G564" t="s">
        <v>50</v>
      </c>
      <c r="H564" t="s">
        <v>45</v>
      </c>
      <c r="I564" t="s">
        <v>47</v>
      </c>
      <c r="J564">
        <v>1.5</v>
      </c>
      <c r="K564">
        <v>0</v>
      </c>
      <c r="L564">
        <v>0</v>
      </c>
      <c r="M564" t="s">
        <v>45</v>
      </c>
      <c r="N564" t="s">
        <v>47</v>
      </c>
      <c r="O564">
        <v>2</v>
      </c>
      <c r="P564">
        <v>8</v>
      </c>
    </row>
    <row r="565" spans="1:16" x14ac:dyDescent="0.4">
      <c r="A565" t="s">
        <v>614</v>
      </c>
      <c r="B565">
        <v>17</v>
      </c>
      <c r="C565" t="s">
        <v>56</v>
      </c>
      <c r="D565" t="s">
        <v>49</v>
      </c>
      <c r="E565" t="s">
        <v>45</v>
      </c>
      <c r="F565">
        <v>2</v>
      </c>
      <c r="G565" t="s">
        <v>50</v>
      </c>
      <c r="H565" t="s">
        <v>45</v>
      </c>
      <c r="I565" t="s">
        <v>47</v>
      </c>
      <c r="J565">
        <v>4.75</v>
      </c>
      <c r="K565">
        <v>0</v>
      </c>
      <c r="L565">
        <v>2</v>
      </c>
      <c r="M565" t="s">
        <v>45</v>
      </c>
      <c r="N565" t="s">
        <v>47</v>
      </c>
      <c r="O565">
        <v>1</v>
      </c>
      <c r="P565">
        <v>12</v>
      </c>
    </row>
    <row r="566" spans="1:16" x14ac:dyDescent="0.4">
      <c r="A566" t="s">
        <v>615</v>
      </c>
      <c r="B566">
        <v>15</v>
      </c>
      <c r="C566" t="s">
        <v>43</v>
      </c>
      <c r="D566" t="s">
        <v>44</v>
      </c>
      <c r="E566" t="s">
        <v>45</v>
      </c>
      <c r="F566">
        <v>0</v>
      </c>
      <c r="G566" t="s">
        <v>50</v>
      </c>
      <c r="H566" t="s">
        <v>47</v>
      </c>
      <c r="I566" t="s">
        <v>47</v>
      </c>
      <c r="J566">
        <v>0</v>
      </c>
      <c r="K566">
        <v>0</v>
      </c>
      <c r="L566">
        <v>0</v>
      </c>
      <c r="M566" t="s">
        <v>45</v>
      </c>
      <c r="N566" t="s">
        <v>47</v>
      </c>
      <c r="O566">
        <v>2</v>
      </c>
      <c r="P566">
        <v>11</v>
      </c>
    </row>
    <row r="567" spans="1:16" x14ac:dyDescent="0.4">
      <c r="A567" t="s">
        <v>616</v>
      </c>
      <c r="B567">
        <v>17</v>
      </c>
      <c r="C567" t="s">
        <v>56</v>
      </c>
      <c r="D567" t="s">
        <v>44</v>
      </c>
      <c r="E567" t="s">
        <v>47</v>
      </c>
      <c r="F567">
        <v>0</v>
      </c>
      <c r="G567" t="s">
        <v>50</v>
      </c>
      <c r="H567" t="s">
        <v>47</v>
      </c>
      <c r="I567" t="s">
        <v>47</v>
      </c>
      <c r="J567">
        <v>4.75</v>
      </c>
      <c r="K567">
        <v>0</v>
      </c>
      <c r="L567">
        <v>0</v>
      </c>
      <c r="M567" t="s">
        <v>45</v>
      </c>
      <c r="N567" t="s">
        <v>45</v>
      </c>
      <c r="O567">
        <v>1</v>
      </c>
      <c r="P567">
        <v>15</v>
      </c>
    </row>
    <row r="568" spans="1:16" x14ac:dyDescent="0.4">
      <c r="A568" t="s">
        <v>617</v>
      </c>
      <c r="B568">
        <v>17</v>
      </c>
      <c r="C568" t="s">
        <v>43</v>
      </c>
      <c r="D568" t="s">
        <v>44</v>
      </c>
      <c r="E568" t="s">
        <v>47</v>
      </c>
      <c r="F568">
        <v>0</v>
      </c>
      <c r="G568" t="s">
        <v>46</v>
      </c>
      <c r="H568" t="s">
        <v>47</v>
      </c>
      <c r="I568" t="s">
        <v>47</v>
      </c>
      <c r="J568">
        <v>3.5</v>
      </c>
      <c r="K568">
        <v>0</v>
      </c>
      <c r="L568">
        <v>0</v>
      </c>
      <c r="M568" t="s">
        <v>45</v>
      </c>
      <c r="N568" t="s">
        <v>47</v>
      </c>
      <c r="O568">
        <v>2</v>
      </c>
      <c r="P568">
        <v>11</v>
      </c>
    </row>
    <row r="569" spans="1:16" x14ac:dyDescent="0.4">
      <c r="A569" t="s">
        <v>618</v>
      </c>
      <c r="B569">
        <v>16</v>
      </c>
      <c r="C569" t="s">
        <v>43</v>
      </c>
      <c r="D569" t="s">
        <v>44</v>
      </c>
      <c r="E569" t="s">
        <v>45</v>
      </c>
      <c r="F569">
        <v>2</v>
      </c>
      <c r="G569" t="s">
        <v>46</v>
      </c>
      <c r="H569" t="s">
        <v>45</v>
      </c>
      <c r="I569" t="s">
        <v>47</v>
      </c>
      <c r="J569">
        <v>2.5</v>
      </c>
      <c r="K569">
        <v>0</v>
      </c>
      <c r="L569">
        <v>6</v>
      </c>
      <c r="M569" t="s">
        <v>45</v>
      </c>
      <c r="N569" t="s">
        <v>47</v>
      </c>
      <c r="O569">
        <v>1</v>
      </c>
      <c r="P569">
        <v>14</v>
      </c>
    </row>
    <row r="570" spans="1:16" x14ac:dyDescent="0.4">
      <c r="A570" t="s">
        <v>619</v>
      </c>
      <c r="B570">
        <v>15</v>
      </c>
      <c r="C570" t="s">
        <v>43</v>
      </c>
      <c r="D570" t="s">
        <v>44</v>
      </c>
      <c r="E570" t="s">
        <v>45</v>
      </c>
      <c r="F570">
        <v>1</v>
      </c>
      <c r="G570" t="s">
        <v>46</v>
      </c>
      <c r="H570" t="s">
        <v>47</v>
      </c>
      <c r="I570" t="s">
        <v>47</v>
      </c>
      <c r="J570">
        <v>0.75</v>
      </c>
      <c r="K570">
        <v>0</v>
      </c>
      <c r="L570">
        <v>2</v>
      </c>
      <c r="M570" t="s">
        <v>45</v>
      </c>
      <c r="N570" t="s">
        <v>47</v>
      </c>
      <c r="O570">
        <v>1</v>
      </c>
      <c r="P570">
        <v>14</v>
      </c>
    </row>
    <row r="571" spans="1:16" x14ac:dyDescent="0.4">
      <c r="A571" t="s">
        <v>620</v>
      </c>
      <c r="B571">
        <v>18</v>
      </c>
      <c r="C571" t="s">
        <v>43</v>
      </c>
      <c r="D571" t="s">
        <v>44</v>
      </c>
      <c r="E571" t="s">
        <v>47</v>
      </c>
      <c r="F571">
        <v>0</v>
      </c>
      <c r="G571" t="s">
        <v>50</v>
      </c>
      <c r="H571" t="s">
        <v>47</v>
      </c>
      <c r="I571" t="s">
        <v>47</v>
      </c>
      <c r="J571">
        <v>0.75</v>
      </c>
      <c r="K571">
        <v>0</v>
      </c>
      <c r="L571">
        <v>2</v>
      </c>
      <c r="M571" t="s">
        <v>45</v>
      </c>
      <c r="N571" t="s">
        <v>45</v>
      </c>
      <c r="O571">
        <v>1</v>
      </c>
      <c r="P571">
        <v>14</v>
      </c>
    </row>
    <row r="572" spans="1:16" x14ac:dyDescent="0.4">
      <c r="A572" t="s">
        <v>621</v>
      </c>
      <c r="B572">
        <v>17</v>
      </c>
      <c r="C572" t="s">
        <v>43</v>
      </c>
      <c r="D572" t="s">
        <v>49</v>
      </c>
      <c r="E572" t="s">
        <v>45</v>
      </c>
      <c r="F572">
        <v>0</v>
      </c>
      <c r="G572" t="s">
        <v>46</v>
      </c>
      <c r="H572" t="s">
        <v>45</v>
      </c>
      <c r="I572" t="s">
        <v>47</v>
      </c>
      <c r="J572">
        <v>2.5</v>
      </c>
      <c r="K572">
        <v>0</v>
      </c>
      <c r="L572">
        <v>2</v>
      </c>
      <c r="M572" t="s">
        <v>45</v>
      </c>
      <c r="N572" t="s">
        <v>45</v>
      </c>
      <c r="O572">
        <v>2</v>
      </c>
      <c r="P572">
        <v>18</v>
      </c>
    </row>
    <row r="573" spans="1:16" x14ac:dyDescent="0.4">
      <c r="A573" t="s">
        <v>622</v>
      </c>
      <c r="B573">
        <v>16</v>
      </c>
      <c r="C573" t="s">
        <v>56</v>
      </c>
      <c r="D573" t="s">
        <v>49</v>
      </c>
      <c r="E573" t="s">
        <v>47</v>
      </c>
      <c r="F573">
        <v>1</v>
      </c>
      <c r="G573" t="s">
        <v>50</v>
      </c>
      <c r="H573" t="s">
        <v>47</v>
      </c>
      <c r="I573" t="s">
        <v>47</v>
      </c>
      <c r="J573">
        <v>4.75</v>
      </c>
      <c r="K573">
        <v>0</v>
      </c>
      <c r="L573">
        <v>2</v>
      </c>
      <c r="M573" t="s">
        <v>45</v>
      </c>
      <c r="N573" t="s">
        <v>47</v>
      </c>
      <c r="O573">
        <v>1</v>
      </c>
      <c r="P573">
        <v>8</v>
      </c>
    </row>
    <row r="574" spans="1:16" x14ac:dyDescent="0.4">
      <c r="A574" t="s">
        <v>623</v>
      </c>
      <c r="B574">
        <v>15</v>
      </c>
      <c r="C574" t="s">
        <v>43</v>
      </c>
      <c r="D574" t="s">
        <v>44</v>
      </c>
      <c r="E574" t="s">
        <v>47</v>
      </c>
      <c r="F574">
        <v>2</v>
      </c>
      <c r="G574" t="s">
        <v>46</v>
      </c>
      <c r="H574" t="s">
        <v>45</v>
      </c>
      <c r="I574" t="s">
        <v>47</v>
      </c>
      <c r="J574">
        <v>1.25</v>
      </c>
      <c r="K574">
        <v>0</v>
      </c>
      <c r="L574">
        <v>0</v>
      </c>
      <c r="M574" t="s">
        <v>45</v>
      </c>
      <c r="N574" t="s">
        <v>47</v>
      </c>
      <c r="O574">
        <v>2</v>
      </c>
      <c r="P574">
        <v>12</v>
      </c>
    </row>
    <row r="575" spans="1:16" x14ac:dyDescent="0.4">
      <c r="A575" t="s">
        <v>624</v>
      </c>
      <c r="B575">
        <v>17</v>
      </c>
      <c r="C575" t="s">
        <v>56</v>
      </c>
      <c r="D575" t="s">
        <v>44</v>
      </c>
      <c r="E575" t="s">
        <v>45</v>
      </c>
      <c r="F575">
        <v>1</v>
      </c>
      <c r="G575" t="s">
        <v>50</v>
      </c>
      <c r="H575" t="s">
        <v>47</v>
      </c>
      <c r="I575" t="s">
        <v>47</v>
      </c>
      <c r="J575">
        <v>1.5</v>
      </c>
      <c r="K575">
        <v>0</v>
      </c>
      <c r="L575">
        <v>0</v>
      </c>
      <c r="M575" t="s">
        <v>45</v>
      </c>
      <c r="N575" t="s">
        <v>45</v>
      </c>
      <c r="O575">
        <v>1</v>
      </c>
      <c r="P575">
        <v>9</v>
      </c>
    </row>
    <row r="576" spans="1:16" x14ac:dyDescent="0.4">
      <c r="A576" t="s">
        <v>625</v>
      </c>
      <c r="B576">
        <v>17</v>
      </c>
      <c r="C576" t="s">
        <v>56</v>
      </c>
      <c r="D576" t="s">
        <v>49</v>
      </c>
      <c r="E576" t="s">
        <v>45</v>
      </c>
      <c r="F576">
        <v>1</v>
      </c>
      <c r="G576" t="s">
        <v>46</v>
      </c>
      <c r="H576" t="s">
        <v>45</v>
      </c>
      <c r="I576" t="s">
        <v>47</v>
      </c>
      <c r="J576">
        <v>7.25</v>
      </c>
      <c r="K576">
        <v>0</v>
      </c>
      <c r="L576">
        <v>2</v>
      </c>
      <c r="M576" t="s">
        <v>45</v>
      </c>
      <c r="N576" t="s">
        <v>47</v>
      </c>
      <c r="O576">
        <v>3</v>
      </c>
      <c r="P576">
        <v>17</v>
      </c>
    </row>
    <row r="577" spans="1:16" x14ac:dyDescent="0.4">
      <c r="A577" t="s">
        <v>626</v>
      </c>
      <c r="B577">
        <v>17</v>
      </c>
      <c r="C577" t="s">
        <v>43</v>
      </c>
      <c r="D577" t="s">
        <v>44</v>
      </c>
      <c r="E577" t="s">
        <v>45</v>
      </c>
      <c r="F577">
        <v>0</v>
      </c>
      <c r="G577" t="s">
        <v>46</v>
      </c>
      <c r="H577" t="s">
        <v>47</v>
      </c>
      <c r="I577" t="s">
        <v>47</v>
      </c>
      <c r="J577">
        <v>3.25</v>
      </c>
      <c r="K577">
        <v>0</v>
      </c>
      <c r="L577">
        <v>0</v>
      </c>
      <c r="M577" t="s">
        <v>45</v>
      </c>
      <c r="N577" t="s">
        <v>47</v>
      </c>
      <c r="O577">
        <v>1</v>
      </c>
      <c r="P577">
        <v>12</v>
      </c>
    </row>
    <row r="578" spans="1:16" x14ac:dyDescent="0.4">
      <c r="A578" t="s">
        <v>627</v>
      </c>
      <c r="B578">
        <v>17</v>
      </c>
      <c r="C578" t="s">
        <v>56</v>
      </c>
      <c r="D578" t="s">
        <v>44</v>
      </c>
      <c r="E578" t="s">
        <v>45</v>
      </c>
      <c r="F578">
        <v>0</v>
      </c>
      <c r="G578" t="s">
        <v>50</v>
      </c>
      <c r="H578" t="s">
        <v>47</v>
      </c>
      <c r="I578" t="s">
        <v>47</v>
      </c>
      <c r="J578">
        <v>1</v>
      </c>
      <c r="K578">
        <v>0</v>
      </c>
      <c r="L578">
        <v>5</v>
      </c>
      <c r="M578" t="s">
        <v>45</v>
      </c>
      <c r="N578" t="s">
        <v>45</v>
      </c>
      <c r="O578">
        <v>2</v>
      </c>
      <c r="P578">
        <v>11</v>
      </c>
    </row>
    <row r="579" spans="1:16" x14ac:dyDescent="0.4">
      <c r="A579" t="s">
        <v>628</v>
      </c>
      <c r="B579">
        <v>19</v>
      </c>
      <c r="C579" t="s">
        <v>43</v>
      </c>
      <c r="D579" t="s">
        <v>44</v>
      </c>
      <c r="E579" t="s">
        <v>45</v>
      </c>
      <c r="F579">
        <v>0</v>
      </c>
      <c r="G579" t="s">
        <v>50</v>
      </c>
      <c r="H579" t="s">
        <v>45</v>
      </c>
      <c r="I579" t="s">
        <v>47</v>
      </c>
      <c r="J579">
        <v>4.75</v>
      </c>
      <c r="K579">
        <v>2</v>
      </c>
      <c r="L579">
        <v>2</v>
      </c>
      <c r="M579" t="s">
        <v>47</v>
      </c>
      <c r="N579" t="s">
        <v>47</v>
      </c>
      <c r="O579">
        <v>3</v>
      </c>
      <c r="P579">
        <v>10</v>
      </c>
    </row>
    <row r="580" spans="1:16" x14ac:dyDescent="0.4">
      <c r="A580" t="s">
        <v>629</v>
      </c>
      <c r="B580">
        <v>18</v>
      </c>
      <c r="C580" t="s">
        <v>43</v>
      </c>
      <c r="D580" t="s">
        <v>49</v>
      </c>
      <c r="E580" t="s">
        <v>45</v>
      </c>
      <c r="F580">
        <v>0</v>
      </c>
      <c r="G580" t="s">
        <v>46</v>
      </c>
      <c r="H580" t="s">
        <v>47</v>
      </c>
      <c r="I580" t="s">
        <v>47</v>
      </c>
      <c r="J580">
        <v>0</v>
      </c>
      <c r="K580">
        <v>0</v>
      </c>
      <c r="L580">
        <v>13</v>
      </c>
      <c r="M580" t="s">
        <v>45</v>
      </c>
      <c r="N580" t="s">
        <v>47</v>
      </c>
      <c r="O580">
        <v>4</v>
      </c>
      <c r="P580">
        <v>14</v>
      </c>
    </row>
    <row r="581" spans="1:16" x14ac:dyDescent="0.4">
      <c r="A581" t="s">
        <v>630</v>
      </c>
      <c r="B581">
        <v>16</v>
      </c>
      <c r="C581" t="s">
        <v>56</v>
      </c>
      <c r="D581" t="s">
        <v>49</v>
      </c>
      <c r="E581" t="s">
        <v>45</v>
      </c>
      <c r="F581">
        <v>0</v>
      </c>
      <c r="G581" t="s">
        <v>50</v>
      </c>
      <c r="H581" t="s">
        <v>45</v>
      </c>
      <c r="I581" t="s">
        <v>47</v>
      </c>
      <c r="J581">
        <v>2.75</v>
      </c>
      <c r="K581">
        <v>1</v>
      </c>
      <c r="L581">
        <v>2</v>
      </c>
      <c r="M581" t="s">
        <v>45</v>
      </c>
      <c r="N581" t="s">
        <v>47</v>
      </c>
      <c r="O581">
        <v>2</v>
      </c>
      <c r="P581">
        <v>12</v>
      </c>
    </row>
    <row r="582" spans="1:16" x14ac:dyDescent="0.4">
      <c r="A582" t="s">
        <v>631</v>
      </c>
      <c r="B582">
        <v>17</v>
      </c>
      <c r="C582" t="s">
        <v>56</v>
      </c>
      <c r="D582" t="s">
        <v>44</v>
      </c>
      <c r="E582" t="s">
        <v>45</v>
      </c>
      <c r="F582">
        <v>0</v>
      </c>
      <c r="G582" t="s">
        <v>46</v>
      </c>
      <c r="H582" t="s">
        <v>47</v>
      </c>
      <c r="I582" t="s">
        <v>47</v>
      </c>
      <c r="J582">
        <v>4</v>
      </c>
      <c r="K582">
        <v>0</v>
      </c>
      <c r="L582">
        <v>0</v>
      </c>
      <c r="M582" t="s">
        <v>45</v>
      </c>
      <c r="N582" t="s">
        <v>45</v>
      </c>
      <c r="O582">
        <v>2</v>
      </c>
      <c r="P582">
        <v>15</v>
      </c>
    </row>
    <row r="583" spans="1:16" x14ac:dyDescent="0.4">
      <c r="A583" t="s">
        <v>632</v>
      </c>
      <c r="B583">
        <v>18</v>
      </c>
      <c r="C583" t="s">
        <v>56</v>
      </c>
      <c r="D583" t="s">
        <v>44</v>
      </c>
      <c r="E583" t="s">
        <v>45</v>
      </c>
      <c r="F583">
        <v>0</v>
      </c>
      <c r="G583" t="s">
        <v>46</v>
      </c>
      <c r="H583" t="s">
        <v>45</v>
      </c>
      <c r="I583" t="s">
        <v>47</v>
      </c>
      <c r="J583">
        <v>5</v>
      </c>
      <c r="K583">
        <v>0</v>
      </c>
      <c r="L583">
        <v>0</v>
      </c>
      <c r="M583" t="s">
        <v>45</v>
      </c>
      <c r="N583" t="s">
        <v>45</v>
      </c>
      <c r="O583">
        <v>1</v>
      </c>
      <c r="P583">
        <v>13</v>
      </c>
    </row>
    <row r="584" spans="1:16" x14ac:dyDescent="0.4">
      <c r="A584" t="s">
        <v>633</v>
      </c>
      <c r="B584">
        <v>16</v>
      </c>
      <c r="C584" t="s">
        <v>56</v>
      </c>
      <c r="D584" t="s">
        <v>44</v>
      </c>
      <c r="E584" t="s">
        <v>45</v>
      </c>
      <c r="F584">
        <v>0</v>
      </c>
      <c r="G584" t="s">
        <v>46</v>
      </c>
      <c r="H584" t="s">
        <v>47</v>
      </c>
      <c r="I584" t="s">
        <v>47</v>
      </c>
      <c r="J584">
        <v>1.5</v>
      </c>
      <c r="K584">
        <v>0</v>
      </c>
      <c r="L584">
        <v>4</v>
      </c>
      <c r="M584" t="s">
        <v>47</v>
      </c>
      <c r="N584" t="s">
        <v>47</v>
      </c>
      <c r="O584">
        <v>1</v>
      </c>
      <c r="P584">
        <v>11</v>
      </c>
    </row>
    <row r="585" spans="1:16" x14ac:dyDescent="0.4">
      <c r="A585" t="s">
        <v>634</v>
      </c>
      <c r="B585">
        <v>16</v>
      </c>
      <c r="C585" t="s">
        <v>56</v>
      </c>
      <c r="D585" t="s">
        <v>44</v>
      </c>
      <c r="E585" t="s">
        <v>47</v>
      </c>
      <c r="F585">
        <v>2</v>
      </c>
      <c r="G585" t="s">
        <v>46</v>
      </c>
      <c r="H585" t="s">
        <v>47</v>
      </c>
      <c r="I585" t="s">
        <v>47</v>
      </c>
      <c r="J585">
        <v>4</v>
      </c>
      <c r="K585">
        <v>0</v>
      </c>
      <c r="L585">
        <v>0</v>
      </c>
      <c r="M585" t="s">
        <v>45</v>
      </c>
      <c r="N585" t="s">
        <v>47</v>
      </c>
      <c r="O585">
        <v>1</v>
      </c>
      <c r="P585">
        <v>11</v>
      </c>
    </row>
    <row r="586" spans="1:16" x14ac:dyDescent="0.4">
      <c r="A586" t="s">
        <v>635</v>
      </c>
      <c r="B586">
        <v>16</v>
      </c>
      <c r="C586" t="s">
        <v>43</v>
      </c>
      <c r="D586" t="s">
        <v>44</v>
      </c>
      <c r="E586" t="s">
        <v>47</v>
      </c>
      <c r="F586">
        <v>1</v>
      </c>
      <c r="G586" t="s">
        <v>46</v>
      </c>
      <c r="H586" t="s">
        <v>45</v>
      </c>
      <c r="I586" t="s">
        <v>47</v>
      </c>
      <c r="J586">
        <v>2.25</v>
      </c>
      <c r="K586">
        <v>0</v>
      </c>
      <c r="L586">
        <v>0</v>
      </c>
      <c r="M586" t="s">
        <v>45</v>
      </c>
      <c r="N586" t="s">
        <v>47</v>
      </c>
      <c r="O586">
        <v>2</v>
      </c>
      <c r="P586">
        <v>14</v>
      </c>
    </row>
    <row r="587" spans="1:16" x14ac:dyDescent="0.4">
      <c r="A587" t="s">
        <v>636</v>
      </c>
      <c r="B587">
        <v>18</v>
      </c>
      <c r="C587" t="s">
        <v>43</v>
      </c>
      <c r="D587" t="s">
        <v>44</v>
      </c>
      <c r="E587" t="s">
        <v>47</v>
      </c>
      <c r="F587">
        <v>0</v>
      </c>
      <c r="G587" t="s">
        <v>46</v>
      </c>
      <c r="H587" t="s">
        <v>45</v>
      </c>
      <c r="I587" t="s">
        <v>47</v>
      </c>
      <c r="J587">
        <v>4</v>
      </c>
      <c r="K587">
        <v>0</v>
      </c>
      <c r="L587">
        <v>11</v>
      </c>
      <c r="M587" t="s">
        <v>47</v>
      </c>
      <c r="N587" t="s">
        <v>47</v>
      </c>
      <c r="O587">
        <v>2</v>
      </c>
      <c r="P587">
        <v>12</v>
      </c>
    </row>
    <row r="588" spans="1:16" x14ac:dyDescent="0.4">
      <c r="A588" t="s">
        <v>637</v>
      </c>
      <c r="B588">
        <v>18</v>
      </c>
      <c r="C588" t="s">
        <v>43</v>
      </c>
      <c r="D588" t="s">
        <v>44</v>
      </c>
      <c r="E588" t="s">
        <v>45</v>
      </c>
      <c r="F588">
        <v>0</v>
      </c>
      <c r="G588" t="s">
        <v>50</v>
      </c>
      <c r="H588" t="s">
        <v>45</v>
      </c>
      <c r="I588" t="s">
        <v>47</v>
      </c>
      <c r="J588">
        <v>3</v>
      </c>
      <c r="K588">
        <v>2</v>
      </c>
      <c r="L588">
        <v>9</v>
      </c>
      <c r="M588" t="s">
        <v>47</v>
      </c>
      <c r="N588" t="s">
        <v>47</v>
      </c>
      <c r="O588">
        <v>2</v>
      </c>
      <c r="P588">
        <v>8</v>
      </c>
    </row>
    <row r="589" spans="1:16" x14ac:dyDescent="0.4">
      <c r="A589" t="s">
        <v>638</v>
      </c>
      <c r="B589">
        <v>16</v>
      </c>
      <c r="C589" t="s">
        <v>56</v>
      </c>
      <c r="D589" t="s">
        <v>49</v>
      </c>
      <c r="E589" t="s">
        <v>47</v>
      </c>
      <c r="F589">
        <v>0</v>
      </c>
      <c r="G589" t="s">
        <v>50</v>
      </c>
      <c r="H589" t="s">
        <v>45</v>
      </c>
      <c r="I589" t="s">
        <v>47</v>
      </c>
      <c r="J589">
        <v>0</v>
      </c>
      <c r="K589">
        <v>0</v>
      </c>
      <c r="L589">
        <v>0</v>
      </c>
      <c r="M589" t="s">
        <v>45</v>
      </c>
      <c r="N589" t="s">
        <v>45</v>
      </c>
      <c r="O589">
        <v>1</v>
      </c>
      <c r="P589">
        <v>16</v>
      </c>
    </row>
    <row r="590" spans="1:16" x14ac:dyDescent="0.4">
      <c r="A590" t="s">
        <v>639</v>
      </c>
      <c r="B590">
        <v>19</v>
      </c>
      <c r="C590" t="s">
        <v>56</v>
      </c>
      <c r="D590" t="s">
        <v>44</v>
      </c>
      <c r="E590" t="s">
        <v>45</v>
      </c>
      <c r="F590">
        <v>0</v>
      </c>
      <c r="G590" t="s">
        <v>50</v>
      </c>
      <c r="H590" t="s">
        <v>47</v>
      </c>
      <c r="I590" t="s">
        <v>47</v>
      </c>
      <c r="J590">
        <v>1</v>
      </c>
      <c r="K590">
        <v>1</v>
      </c>
      <c r="L590">
        <v>0</v>
      </c>
      <c r="M590" t="s">
        <v>47</v>
      </c>
      <c r="N590" t="s">
        <v>47</v>
      </c>
      <c r="O590">
        <v>2</v>
      </c>
      <c r="P590">
        <v>0</v>
      </c>
    </row>
    <row r="591" spans="1:16" x14ac:dyDescent="0.4">
      <c r="A591" t="s">
        <v>640</v>
      </c>
      <c r="B591">
        <v>18</v>
      </c>
      <c r="C591" t="s">
        <v>56</v>
      </c>
      <c r="D591" t="s">
        <v>49</v>
      </c>
      <c r="E591" t="s">
        <v>45</v>
      </c>
      <c r="F591">
        <v>2</v>
      </c>
      <c r="G591" t="s">
        <v>50</v>
      </c>
      <c r="H591" t="s">
        <v>45</v>
      </c>
      <c r="I591" t="s">
        <v>47</v>
      </c>
      <c r="J591">
        <v>1.25</v>
      </c>
      <c r="K591">
        <v>0</v>
      </c>
      <c r="L591">
        <v>4</v>
      </c>
      <c r="M591" t="s">
        <v>45</v>
      </c>
      <c r="N591" t="s">
        <v>45</v>
      </c>
      <c r="O591">
        <v>2</v>
      </c>
      <c r="P591">
        <v>10</v>
      </c>
    </row>
    <row r="592" spans="1:16" x14ac:dyDescent="0.4">
      <c r="A592" t="s">
        <v>641</v>
      </c>
      <c r="B592">
        <v>16</v>
      </c>
      <c r="C592" t="s">
        <v>56</v>
      </c>
      <c r="D592" t="s">
        <v>44</v>
      </c>
      <c r="E592" t="s">
        <v>45</v>
      </c>
      <c r="F592">
        <v>0</v>
      </c>
      <c r="G592" t="s">
        <v>50</v>
      </c>
      <c r="H592" t="s">
        <v>45</v>
      </c>
      <c r="I592" t="s">
        <v>47</v>
      </c>
      <c r="J592">
        <v>1</v>
      </c>
      <c r="K592">
        <v>0</v>
      </c>
      <c r="L592">
        <v>0</v>
      </c>
      <c r="M592" t="s">
        <v>45</v>
      </c>
      <c r="N592" t="s">
        <v>45</v>
      </c>
      <c r="O592">
        <v>1</v>
      </c>
      <c r="P592">
        <v>16</v>
      </c>
    </row>
    <row r="593" spans="1:16" x14ac:dyDescent="0.4">
      <c r="A593" t="s">
        <v>642</v>
      </c>
      <c r="B593">
        <v>18</v>
      </c>
      <c r="C593" t="s">
        <v>56</v>
      </c>
      <c r="D593" t="s">
        <v>49</v>
      </c>
      <c r="E593" t="s">
        <v>45</v>
      </c>
      <c r="F593">
        <v>1</v>
      </c>
      <c r="G593" t="s">
        <v>50</v>
      </c>
      <c r="H593" t="s">
        <v>47</v>
      </c>
      <c r="I593" t="s">
        <v>47</v>
      </c>
      <c r="J593">
        <v>1.5</v>
      </c>
      <c r="K593">
        <v>0</v>
      </c>
      <c r="L593">
        <v>8</v>
      </c>
      <c r="M593" t="s">
        <v>45</v>
      </c>
      <c r="N593" t="s">
        <v>47</v>
      </c>
      <c r="O593">
        <v>3</v>
      </c>
      <c r="P593">
        <v>10</v>
      </c>
    </row>
    <row r="594" spans="1:16" x14ac:dyDescent="0.4">
      <c r="A594" t="s">
        <v>643</v>
      </c>
      <c r="B594">
        <v>17</v>
      </c>
      <c r="C594" t="s">
        <v>56</v>
      </c>
      <c r="D594" t="s">
        <v>44</v>
      </c>
      <c r="E594" t="s">
        <v>45</v>
      </c>
      <c r="F594">
        <v>1</v>
      </c>
      <c r="G594" t="s">
        <v>50</v>
      </c>
      <c r="H594" t="s">
        <v>47</v>
      </c>
      <c r="I594" t="s">
        <v>47</v>
      </c>
      <c r="J594">
        <v>3.5</v>
      </c>
      <c r="K594">
        <v>0</v>
      </c>
      <c r="L594">
        <v>0</v>
      </c>
      <c r="M594" t="s">
        <v>45</v>
      </c>
      <c r="N594" t="s">
        <v>47</v>
      </c>
      <c r="O594">
        <v>1</v>
      </c>
      <c r="P594">
        <v>18</v>
      </c>
    </row>
    <row r="595" spans="1:16" x14ac:dyDescent="0.4">
      <c r="A595" t="s">
        <v>644</v>
      </c>
      <c r="B595">
        <v>15</v>
      </c>
      <c r="C595" t="s">
        <v>43</v>
      </c>
      <c r="D595" t="s">
        <v>44</v>
      </c>
      <c r="E595" t="s">
        <v>47</v>
      </c>
      <c r="F595">
        <v>1</v>
      </c>
      <c r="G595" t="s">
        <v>46</v>
      </c>
      <c r="H595" t="s">
        <v>45</v>
      </c>
      <c r="I595" t="s">
        <v>47</v>
      </c>
      <c r="J595">
        <v>7.25</v>
      </c>
      <c r="K595">
        <v>0</v>
      </c>
      <c r="L595">
        <v>0</v>
      </c>
      <c r="M595" t="s">
        <v>45</v>
      </c>
      <c r="N595" t="s">
        <v>47</v>
      </c>
      <c r="O595">
        <v>1</v>
      </c>
      <c r="P595">
        <v>14</v>
      </c>
    </row>
    <row r="596" spans="1:16" x14ac:dyDescent="0.4">
      <c r="A596" t="s">
        <v>645</v>
      </c>
      <c r="B596">
        <v>16</v>
      </c>
      <c r="C596" t="s">
        <v>56</v>
      </c>
      <c r="D596" t="s">
        <v>44</v>
      </c>
      <c r="E596" t="s">
        <v>47</v>
      </c>
      <c r="F596">
        <v>1</v>
      </c>
      <c r="G596" t="s">
        <v>50</v>
      </c>
      <c r="H596" t="s">
        <v>45</v>
      </c>
      <c r="I596" t="s">
        <v>47</v>
      </c>
      <c r="J596">
        <v>4.75</v>
      </c>
      <c r="K596">
        <v>0</v>
      </c>
      <c r="L596">
        <v>8</v>
      </c>
      <c r="M596" t="s">
        <v>45</v>
      </c>
      <c r="N596" t="s">
        <v>47</v>
      </c>
      <c r="O596">
        <v>2</v>
      </c>
      <c r="P596">
        <v>10</v>
      </c>
    </row>
    <row r="597" spans="1:16" x14ac:dyDescent="0.4">
      <c r="A597" t="s">
        <v>646</v>
      </c>
      <c r="B597">
        <v>16</v>
      </c>
      <c r="C597" t="s">
        <v>56</v>
      </c>
      <c r="D597" t="s">
        <v>49</v>
      </c>
      <c r="E597" t="s">
        <v>45</v>
      </c>
      <c r="F597">
        <v>0</v>
      </c>
      <c r="G597" t="s">
        <v>50</v>
      </c>
      <c r="H597" t="s">
        <v>47</v>
      </c>
      <c r="I597" t="s">
        <v>47</v>
      </c>
      <c r="J597">
        <v>3.5</v>
      </c>
      <c r="K597">
        <v>0</v>
      </c>
      <c r="L597">
        <v>1</v>
      </c>
      <c r="M597" t="s">
        <v>47</v>
      </c>
      <c r="N597" t="s">
        <v>47</v>
      </c>
      <c r="O597">
        <v>1</v>
      </c>
      <c r="P597">
        <v>11</v>
      </c>
    </row>
    <row r="598" spans="1:16" x14ac:dyDescent="0.4">
      <c r="A598" t="s">
        <v>647</v>
      </c>
      <c r="B598">
        <v>16</v>
      </c>
      <c r="C598" t="s">
        <v>56</v>
      </c>
      <c r="D598" t="s">
        <v>44</v>
      </c>
      <c r="E598" t="s">
        <v>45</v>
      </c>
      <c r="F598">
        <v>0</v>
      </c>
      <c r="G598" t="s">
        <v>46</v>
      </c>
      <c r="H598" t="s">
        <v>47</v>
      </c>
      <c r="I598" t="s">
        <v>47</v>
      </c>
      <c r="J598">
        <v>1.5</v>
      </c>
      <c r="K598">
        <v>0</v>
      </c>
      <c r="L598">
        <v>4</v>
      </c>
      <c r="M598" t="s">
        <v>45</v>
      </c>
      <c r="N598" t="s">
        <v>45</v>
      </c>
      <c r="O598">
        <v>1</v>
      </c>
      <c r="P598">
        <v>10</v>
      </c>
    </row>
    <row r="599" spans="1:16" x14ac:dyDescent="0.4">
      <c r="A599" t="s">
        <v>648</v>
      </c>
      <c r="B599">
        <v>17</v>
      </c>
      <c r="C599" t="s">
        <v>56</v>
      </c>
      <c r="D599" t="s">
        <v>44</v>
      </c>
      <c r="E599" t="s">
        <v>45</v>
      </c>
      <c r="F599">
        <v>0</v>
      </c>
      <c r="G599" t="s">
        <v>46</v>
      </c>
      <c r="H599" t="s">
        <v>47</v>
      </c>
      <c r="I599" t="s">
        <v>47</v>
      </c>
      <c r="J599">
        <v>0.25</v>
      </c>
      <c r="K599">
        <v>1</v>
      </c>
      <c r="L599">
        <v>6</v>
      </c>
      <c r="M599" t="s">
        <v>45</v>
      </c>
      <c r="N599" t="s">
        <v>45</v>
      </c>
      <c r="O599">
        <v>1</v>
      </c>
      <c r="P599">
        <v>13</v>
      </c>
    </row>
    <row r="600" spans="1:16" x14ac:dyDescent="0.4">
      <c r="A600" t="s">
        <v>649</v>
      </c>
      <c r="B600">
        <v>16</v>
      </c>
      <c r="C600" t="s">
        <v>56</v>
      </c>
      <c r="D600" t="s">
        <v>49</v>
      </c>
      <c r="E600" t="s">
        <v>45</v>
      </c>
      <c r="F600">
        <v>0</v>
      </c>
      <c r="G600" t="s">
        <v>50</v>
      </c>
      <c r="H600" t="s">
        <v>47</v>
      </c>
      <c r="I600" t="s">
        <v>47</v>
      </c>
      <c r="J600">
        <v>4</v>
      </c>
      <c r="K600">
        <v>0</v>
      </c>
      <c r="L600">
        <v>2</v>
      </c>
      <c r="M600" t="s">
        <v>45</v>
      </c>
      <c r="N600" t="s">
        <v>47</v>
      </c>
      <c r="O600">
        <v>1</v>
      </c>
      <c r="P600">
        <v>15</v>
      </c>
    </row>
    <row r="601" spans="1:16" x14ac:dyDescent="0.4">
      <c r="A601" t="s">
        <v>650</v>
      </c>
      <c r="B601">
        <v>18</v>
      </c>
      <c r="C601" t="s">
        <v>56</v>
      </c>
      <c r="D601" t="s">
        <v>49</v>
      </c>
      <c r="E601" t="s">
        <v>47</v>
      </c>
      <c r="F601">
        <v>0</v>
      </c>
      <c r="G601" t="s">
        <v>46</v>
      </c>
      <c r="H601" t="s">
        <v>45</v>
      </c>
      <c r="I601" t="s">
        <v>47</v>
      </c>
      <c r="J601">
        <v>10.5</v>
      </c>
      <c r="K601">
        <v>0</v>
      </c>
      <c r="L601">
        <v>2</v>
      </c>
      <c r="M601" t="s">
        <v>45</v>
      </c>
      <c r="N601" t="s">
        <v>47</v>
      </c>
      <c r="O601">
        <v>1</v>
      </c>
      <c r="P601">
        <v>18</v>
      </c>
    </row>
    <row r="602" spans="1:16" x14ac:dyDescent="0.4">
      <c r="A602" t="s">
        <v>651</v>
      </c>
      <c r="B602">
        <v>16</v>
      </c>
      <c r="C602" t="s">
        <v>56</v>
      </c>
      <c r="D602" t="s">
        <v>49</v>
      </c>
      <c r="E602" t="s">
        <v>45</v>
      </c>
      <c r="F602">
        <v>0</v>
      </c>
      <c r="G602" t="s">
        <v>50</v>
      </c>
      <c r="H602" t="s">
        <v>47</v>
      </c>
      <c r="I602" t="s">
        <v>47</v>
      </c>
      <c r="J602">
        <v>3.5</v>
      </c>
      <c r="K602">
        <v>0</v>
      </c>
      <c r="L602">
        <v>0</v>
      </c>
      <c r="M602" t="s">
        <v>45</v>
      </c>
      <c r="N602" t="s">
        <v>47</v>
      </c>
      <c r="O602">
        <v>1</v>
      </c>
      <c r="P602">
        <v>17</v>
      </c>
    </row>
    <row r="603" spans="1:16" x14ac:dyDescent="0.4">
      <c r="A603" t="s">
        <v>652</v>
      </c>
      <c r="B603">
        <v>17</v>
      </c>
      <c r="C603" t="s">
        <v>56</v>
      </c>
      <c r="D603" t="s">
        <v>44</v>
      </c>
      <c r="E603" t="s">
        <v>45</v>
      </c>
      <c r="F603">
        <v>0</v>
      </c>
      <c r="G603" t="s">
        <v>46</v>
      </c>
      <c r="H603" t="s">
        <v>45</v>
      </c>
      <c r="I603" t="s">
        <v>47</v>
      </c>
      <c r="J603">
        <v>15</v>
      </c>
      <c r="K603">
        <v>0</v>
      </c>
      <c r="L603">
        <v>0</v>
      </c>
      <c r="M603" t="s">
        <v>45</v>
      </c>
      <c r="N603" t="s">
        <v>47</v>
      </c>
      <c r="O603">
        <v>1</v>
      </c>
      <c r="P603">
        <v>18</v>
      </c>
    </row>
    <row r="604" spans="1:16" x14ac:dyDescent="0.4">
      <c r="A604" t="s">
        <v>653</v>
      </c>
      <c r="B604">
        <v>15</v>
      </c>
      <c r="C604" t="s">
        <v>56</v>
      </c>
      <c r="D604" t="s">
        <v>44</v>
      </c>
      <c r="E604" t="s">
        <v>45</v>
      </c>
      <c r="F604">
        <v>0</v>
      </c>
      <c r="G604" t="s">
        <v>46</v>
      </c>
      <c r="H604" t="s">
        <v>45</v>
      </c>
      <c r="I604" t="s">
        <v>47</v>
      </c>
      <c r="J604">
        <v>0.75</v>
      </c>
      <c r="K604">
        <v>0</v>
      </c>
      <c r="L604">
        <v>4</v>
      </c>
      <c r="M604" t="s">
        <v>45</v>
      </c>
      <c r="N604" t="s">
        <v>47</v>
      </c>
      <c r="O604">
        <v>1</v>
      </c>
      <c r="P604">
        <v>11</v>
      </c>
    </row>
    <row r="605" spans="1:16" x14ac:dyDescent="0.4">
      <c r="A605" t="s">
        <v>654</v>
      </c>
      <c r="B605">
        <v>18</v>
      </c>
      <c r="C605" t="s">
        <v>56</v>
      </c>
      <c r="D605" t="s">
        <v>44</v>
      </c>
      <c r="E605" t="s">
        <v>47</v>
      </c>
      <c r="F605">
        <v>0</v>
      </c>
      <c r="G605" t="s">
        <v>46</v>
      </c>
      <c r="H605" t="s">
        <v>47</v>
      </c>
      <c r="I605" t="s">
        <v>47</v>
      </c>
      <c r="J605">
        <v>2.5</v>
      </c>
      <c r="K605">
        <v>0</v>
      </c>
      <c r="L605">
        <v>2</v>
      </c>
      <c r="M605" t="s">
        <v>45</v>
      </c>
      <c r="N605" t="s">
        <v>47</v>
      </c>
      <c r="O605">
        <v>1</v>
      </c>
      <c r="P605">
        <v>13</v>
      </c>
    </row>
    <row r="606" spans="1:16" x14ac:dyDescent="0.4">
      <c r="A606" t="s">
        <v>655</v>
      </c>
      <c r="B606">
        <v>16</v>
      </c>
      <c r="C606" t="s">
        <v>56</v>
      </c>
      <c r="D606" t="s">
        <v>44</v>
      </c>
      <c r="E606" t="s">
        <v>45</v>
      </c>
      <c r="F606">
        <v>2</v>
      </c>
      <c r="G606" t="s">
        <v>46</v>
      </c>
      <c r="H606" t="s">
        <v>45</v>
      </c>
      <c r="I606" t="s">
        <v>47</v>
      </c>
      <c r="J606">
        <v>9.25</v>
      </c>
      <c r="K606">
        <v>0</v>
      </c>
      <c r="L606">
        <v>4</v>
      </c>
      <c r="M606" t="s">
        <v>45</v>
      </c>
      <c r="N606" t="s">
        <v>47</v>
      </c>
      <c r="O606">
        <v>1</v>
      </c>
      <c r="P606">
        <v>16</v>
      </c>
    </row>
    <row r="607" spans="1:16" x14ac:dyDescent="0.4">
      <c r="A607" t="s">
        <v>656</v>
      </c>
      <c r="B607">
        <v>16</v>
      </c>
      <c r="C607" t="s">
        <v>43</v>
      </c>
      <c r="D607" t="s">
        <v>44</v>
      </c>
      <c r="E607" t="s">
        <v>45</v>
      </c>
      <c r="F607">
        <v>0</v>
      </c>
      <c r="G607" t="s">
        <v>46</v>
      </c>
      <c r="H607" t="s">
        <v>47</v>
      </c>
      <c r="I607" t="s">
        <v>47</v>
      </c>
      <c r="J607">
        <v>1.75</v>
      </c>
      <c r="K607">
        <v>0</v>
      </c>
      <c r="L607">
        <v>4</v>
      </c>
      <c r="M607" t="s">
        <v>45</v>
      </c>
      <c r="N607" t="s">
        <v>47</v>
      </c>
      <c r="O607">
        <v>1</v>
      </c>
      <c r="P607">
        <v>11</v>
      </c>
    </row>
    <row r="608" spans="1:16" x14ac:dyDescent="0.4">
      <c r="A608" t="s">
        <v>657</v>
      </c>
      <c r="B608">
        <v>17</v>
      </c>
      <c r="C608" t="s">
        <v>56</v>
      </c>
      <c r="D608" t="s">
        <v>44</v>
      </c>
      <c r="E608" t="s">
        <v>45</v>
      </c>
      <c r="F608">
        <v>2</v>
      </c>
      <c r="G608" t="s">
        <v>46</v>
      </c>
      <c r="H608" t="s">
        <v>47</v>
      </c>
      <c r="I608" t="s">
        <v>45</v>
      </c>
      <c r="J608">
        <v>4.75</v>
      </c>
      <c r="K608">
        <v>0</v>
      </c>
      <c r="L608">
        <v>2</v>
      </c>
      <c r="M608" t="s">
        <v>45</v>
      </c>
      <c r="N608" t="s">
        <v>47</v>
      </c>
      <c r="O608">
        <v>1</v>
      </c>
      <c r="P608">
        <v>13</v>
      </c>
    </row>
    <row r="609" spans="1:16" x14ac:dyDescent="0.4">
      <c r="A609" t="s">
        <v>658</v>
      </c>
      <c r="B609">
        <v>15</v>
      </c>
      <c r="C609" t="s">
        <v>43</v>
      </c>
      <c r="D609" t="s">
        <v>44</v>
      </c>
      <c r="E609" t="s">
        <v>47</v>
      </c>
      <c r="F609">
        <v>0</v>
      </c>
      <c r="G609" t="s">
        <v>46</v>
      </c>
      <c r="H609" t="s">
        <v>45</v>
      </c>
      <c r="I609" t="s">
        <v>45</v>
      </c>
      <c r="J609">
        <v>2</v>
      </c>
      <c r="K609">
        <v>0</v>
      </c>
      <c r="L609">
        <v>0</v>
      </c>
      <c r="M609" t="s">
        <v>45</v>
      </c>
      <c r="N609" t="s">
        <v>47</v>
      </c>
      <c r="O609">
        <v>1</v>
      </c>
      <c r="P609">
        <v>14</v>
      </c>
    </row>
    <row r="610" spans="1:16" x14ac:dyDescent="0.4">
      <c r="A610" t="s">
        <v>659</v>
      </c>
      <c r="B610">
        <v>15</v>
      </c>
      <c r="C610" t="s">
        <v>56</v>
      </c>
      <c r="D610" t="s">
        <v>44</v>
      </c>
      <c r="E610" t="s">
        <v>45</v>
      </c>
      <c r="F610">
        <v>0</v>
      </c>
      <c r="G610" t="s">
        <v>46</v>
      </c>
      <c r="H610" t="s">
        <v>47</v>
      </c>
      <c r="I610" t="s">
        <v>47</v>
      </c>
      <c r="J610">
        <v>2.25</v>
      </c>
      <c r="K610">
        <v>0</v>
      </c>
      <c r="L610">
        <v>6</v>
      </c>
      <c r="M610" t="s">
        <v>45</v>
      </c>
      <c r="N610" t="s">
        <v>47</v>
      </c>
      <c r="O610">
        <v>1</v>
      </c>
      <c r="P610">
        <v>13</v>
      </c>
    </row>
    <row r="611" spans="1:16" x14ac:dyDescent="0.4">
      <c r="A611" t="s">
        <v>660</v>
      </c>
      <c r="B611">
        <v>16</v>
      </c>
      <c r="C611" t="s">
        <v>43</v>
      </c>
      <c r="D611" t="s">
        <v>44</v>
      </c>
      <c r="E611" t="s">
        <v>47</v>
      </c>
      <c r="F611">
        <v>0</v>
      </c>
      <c r="G611" t="s">
        <v>46</v>
      </c>
      <c r="H611" t="s">
        <v>45</v>
      </c>
      <c r="I611" t="s">
        <v>47</v>
      </c>
      <c r="J611">
        <v>3</v>
      </c>
      <c r="K611">
        <v>0</v>
      </c>
      <c r="L611">
        <v>2</v>
      </c>
      <c r="M611" t="s">
        <v>45</v>
      </c>
      <c r="N611" t="s">
        <v>47</v>
      </c>
      <c r="O611">
        <v>3</v>
      </c>
      <c r="P611">
        <v>10</v>
      </c>
    </row>
    <row r="612" spans="1:16" x14ac:dyDescent="0.4">
      <c r="A612" t="s">
        <v>661</v>
      </c>
      <c r="B612">
        <v>19</v>
      </c>
      <c r="C612" t="s">
        <v>56</v>
      </c>
      <c r="D612" t="s">
        <v>44</v>
      </c>
      <c r="E612" t="s">
        <v>45</v>
      </c>
      <c r="F612">
        <v>2</v>
      </c>
      <c r="G612" t="s">
        <v>46</v>
      </c>
      <c r="H612" t="s">
        <v>45</v>
      </c>
      <c r="I612" t="s">
        <v>47</v>
      </c>
      <c r="J612">
        <v>3.5</v>
      </c>
      <c r="K612">
        <v>0</v>
      </c>
      <c r="L612">
        <v>2</v>
      </c>
      <c r="M612" t="s">
        <v>45</v>
      </c>
      <c r="N612" t="s">
        <v>47</v>
      </c>
      <c r="O612">
        <v>2</v>
      </c>
      <c r="P612">
        <v>13</v>
      </c>
    </row>
    <row r="613" spans="1:16" x14ac:dyDescent="0.4">
      <c r="A613" t="s">
        <v>662</v>
      </c>
      <c r="B613">
        <v>18</v>
      </c>
      <c r="C613" t="s">
        <v>56</v>
      </c>
      <c r="D613" t="s">
        <v>49</v>
      </c>
      <c r="E613" t="s">
        <v>45</v>
      </c>
      <c r="F613">
        <v>0</v>
      </c>
      <c r="G613" t="s">
        <v>50</v>
      </c>
      <c r="H613" t="s">
        <v>45</v>
      </c>
      <c r="I613" t="s">
        <v>47</v>
      </c>
      <c r="J613">
        <v>3</v>
      </c>
      <c r="K613">
        <v>1</v>
      </c>
      <c r="L613">
        <v>0</v>
      </c>
      <c r="M613" t="s">
        <v>45</v>
      </c>
      <c r="N613" t="s">
        <v>45</v>
      </c>
      <c r="O613">
        <v>1</v>
      </c>
      <c r="P613">
        <v>0</v>
      </c>
    </row>
    <row r="614" spans="1:16" x14ac:dyDescent="0.4">
      <c r="A614" t="s">
        <v>663</v>
      </c>
      <c r="B614">
        <v>17</v>
      </c>
      <c r="C614" t="s">
        <v>56</v>
      </c>
      <c r="D614" t="s">
        <v>44</v>
      </c>
      <c r="E614" t="s">
        <v>47</v>
      </c>
      <c r="F614">
        <v>0</v>
      </c>
      <c r="G614" t="s">
        <v>46</v>
      </c>
      <c r="H614" t="s">
        <v>47</v>
      </c>
      <c r="I614" t="s">
        <v>45</v>
      </c>
      <c r="J614">
        <v>3.25</v>
      </c>
      <c r="K614">
        <v>0</v>
      </c>
      <c r="L614">
        <v>6</v>
      </c>
      <c r="M614" t="s">
        <v>45</v>
      </c>
      <c r="N614" t="s">
        <v>45</v>
      </c>
      <c r="O614">
        <v>2</v>
      </c>
      <c r="P614">
        <v>12</v>
      </c>
    </row>
    <row r="615" spans="1:16" x14ac:dyDescent="0.4">
      <c r="A615" t="s">
        <v>664</v>
      </c>
      <c r="B615">
        <v>17</v>
      </c>
      <c r="C615" t="s">
        <v>43</v>
      </c>
      <c r="D615" t="s">
        <v>44</v>
      </c>
      <c r="E615" t="s">
        <v>45</v>
      </c>
      <c r="F615">
        <v>0</v>
      </c>
      <c r="G615" t="s">
        <v>46</v>
      </c>
      <c r="H615" t="s">
        <v>45</v>
      </c>
      <c r="I615" t="s">
        <v>47</v>
      </c>
      <c r="J615">
        <v>1</v>
      </c>
      <c r="K615">
        <v>3</v>
      </c>
      <c r="L615">
        <v>2</v>
      </c>
      <c r="M615" t="s">
        <v>45</v>
      </c>
      <c r="N615" t="s">
        <v>47</v>
      </c>
      <c r="O615">
        <v>3</v>
      </c>
      <c r="P615">
        <v>7</v>
      </c>
    </row>
    <row r="616" spans="1:16" x14ac:dyDescent="0.4">
      <c r="A616" t="s">
        <v>665</v>
      </c>
      <c r="B616">
        <v>19</v>
      </c>
      <c r="C616" t="s">
        <v>56</v>
      </c>
      <c r="D616" t="s">
        <v>44</v>
      </c>
      <c r="E616" t="s">
        <v>45</v>
      </c>
      <c r="F616">
        <v>0</v>
      </c>
      <c r="G616" t="s">
        <v>50</v>
      </c>
      <c r="H616" t="s">
        <v>47</v>
      </c>
      <c r="I616" t="s">
        <v>47</v>
      </c>
      <c r="J616">
        <v>3</v>
      </c>
      <c r="K616">
        <v>1</v>
      </c>
      <c r="L616">
        <v>12</v>
      </c>
      <c r="M616" t="s">
        <v>45</v>
      </c>
      <c r="N616" t="s">
        <v>45</v>
      </c>
      <c r="O616">
        <v>3</v>
      </c>
      <c r="P616">
        <v>9</v>
      </c>
    </row>
    <row r="617" spans="1:16" x14ac:dyDescent="0.4">
      <c r="A617" t="s">
        <v>666</v>
      </c>
      <c r="B617">
        <v>19</v>
      </c>
      <c r="C617" t="s">
        <v>56</v>
      </c>
      <c r="D617" t="s">
        <v>44</v>
      </c>
      <c r="E617" t="s">
        <v>47</v>
      </c>
      <c r="F617">
        <v>0</v>
      </c>
      <c r="G617" t="s">
        <v>46</v>
      </c>
      <c r="H617" t="s">
        <v>47</v>
      </c>
      <c r="I617" t="s">
        <v>47</v>
      </c>
      <c r="J617">
        <v>2.75</v>
      </c>
      <c r="K617">
        <v>2</v>
      </c>
      <c r="L617">
        <v>2</v>
      </c>
      <c r="M617" t="s">
        <v>45</v>
      </c>
      <c r="N617" t="s">
        <v>45</v>
      </c>
      <c r="O617">
        <v>1</v>
      </c>
      <c r="P617">
        <v>9</v>
      </c>
    </row>
    <row r="618" spans="1:16" x14ac:dyDescent="0.4">
      <c r="A618" t="s">
        <v>667</v>
      </c>
      <c r="B618">
        <v>16</v>
      </c>
      <c r="C618" t="s">
        <v>56</v>
      </c>
      <c r="D618" t="s">
        <v>44</v>
      </c>
      <c r="E618" t="s">
        <v>45</v>
      </c>
      <c r="F618">
        <v>0</v>
      </c>
      <c r="G618" t="s">
        <v>50</v>
      </c>
      <c r="H618" t="s">
        <v>45</v>
      </c>
      <c r="I618" t="s">
        <v>47</v>
      </c>
      <c r="J618">
        <v>4.75</v>
      </c>
      <c r="K618">
        <v>2</v>
      </c>
      <c r="L618">
        <v>8</v>
      </c>
      <c r="M618" t="s">
        <v>45</v>
      </c>
      <c r="N618" t="s">
        <v>45</v>
      </c>
      <c r="O618">
        <v>1</v>
      </c>
      <c r="P618">
        <v>7</v>
      </c>
    </row>
    <row r="619" spans="1:16" x14ac:dyDescent="0.4">
      <c r="A619" t="s">
        <v>668</v>
      </c>
      <c r="B619">
        <v>17</v>
      </c>
      <c r="C619" t="s">
        <v>56</v>
      </c>
      <c r="D619" t="s">
        <v>44</v>
      </c>
      <c r="E619" t="s">
        <v>47</v>
      </c>
      <c r="F619">
        <v>0</v>
      </c>
      <c r="G619" t="s">
        <v>46</v>
      </c>
      <c r="H619" t="s">
        <v>45</v>
      </c>
      <c r="I619" t="s">
        <v>47</v>
      </c>
      <c r="J619">
        <v>4.75</v>
      </c>
      <c r="K619">
        <v>0</v>
      </c>
      <c r="L619">
        <v>2</v>
      </c>
      <c r="M619" t="s">
        <v>45</v>
      </c>
      <c r="N619" t="s">
        <v>47</v>
      </c>
      <c r="O619">
        <v>2</v>
      </c>
      <c r="P619">
        <v>14</v>
      </c>
    </row>
    <row r="620" spans="1:16" x14ac:dyDescent="0.4">
      <c r="A620" t="s">
        <v>669</v>
      </c>
      <c r="B620">
        <v>17</v>
      </c>
      <c r="C620" t="s">
        <v>56</v>
      </c>
      <c r="D620" t="s">
        <v>44</v>
      </c>
      <c r="E620" t="s">
        <v>45</v>
      </c>
      <c r="F620">
        <v>0</v>
      </c>
      <c r="G620" t="s">
        <v>46</v>
      </c>
      <c r="H620" t="s">
        <v>47</v>
      </c>
      <c r="I620" t="s">
        <v>47</v>
      </c>
      <c r="J620">
        <v>3.25</v>
      </c>
      <c r="K620">
        <v>0</v>
      </c>
      <c r="L620">
        <v>18</v>
      </c>
      <c r="M620" t="s">
        <v>45</v>
      </c>
      <c r="N620" t="s">
        <v>45</v>
      </c>
      <c r="O620">
        <v>1</v>
      </c>
      <c r="P620">
        <v>14</v>
      </c>
    </row>
    <row r="621" spans="1:16" x14ac:dyDescent="0.4">
      <c r="A621" t="s">
        <v>670</v>
      </c>
      <c r="B621">
        <v>17</v>
      </c>
      <c r="C621" t="s">
        <v>56</v>
      </c>
      <c r="D621" t="s">
        <v>44</v>
      </c>
      <c r="E621" t="s">
        <v>45</v>
      </c>
      <c r="F621">
        <v>0</v>
      </c>
      <c r="G621" t="s">
        <v>50</v>
      </c>
      <c r="H621" t="s">
        <v>47</v>
      </c>
      <c r="I621" t="s">
        <v>47</v>
      </c>
      <c r="J621">
        <v>3.5</v>
      </c>
      <c r="K621">
        <v>0</v>
      </c>
      <c r="L621">
        <v>1</v>
      </c>
      <c r="M621" t="s">
        <v>45</v>
      </c>
      <c r="N621" t="s">
        <v>45</v>
      </c>
      <c r="O621">
        <v>1</v>
      </c>
      <c r="P621">
        <v>10</v>
      </c>
    </row>
    <row r="622" spans="1:16" x14ac:dyDescent="0.4">
      <c r="A622" t="s">
        <v>671</v>
      </c>
      <c r="B622">
        <v>15</v>
      </c>
      <c r="C622" t="s">
        <v>43</v>
      </c>
      <c r="D622" t="s">
        <v>44</v>
      </c>
      <c r="E622" t="s">
        <v>45</v>
      </c>
      <c r="F622">
        <v>1</v>
      </c>
      <c r="G622" t="s">
        <v>46</v>
      </c>
      <c r="H622" t="s">
        <v>45</v>
      </c>
      <c r="I622" t="s">
        <v>47</v>
      </c>
      <c r="J622">
        <v>2.5</v>
      </c>
      <c r="K622">
        <v>0</v>
      </c>
      <c r="L622">
        <v>0</v>
      </c>
      <c r="M622" t="s">
        <v>45</v>
      </c>
      <c r="N622" t="s">
        <v>47</v>
      </c>
      <c r="O622">
        <v>2</v>
      </c>
      <c r="P622">
        <v>11</v>
      </c>
    </row>
    <row r="623" spans="1:16" x14ac:dyDescent="0.4">
      <c r="A623" t="s">
        <v>672</v>
      </c>
      <c r="B623">
        <v>18</v>
      </c>
      <c r="C623" t="s">
        <v>43</v>
      </c>
      <c r="D623" t="s">
        <v>49</v>
      </c>
      <c r="E623" t="s">
        <v>45</v>
      </c>
      <c r="F623">
        <v>1</v>
      </c>
      <c r="G623" t="s">
        <v>50</v>
      </c>
      <c r="H623" t="s">
        <v>47</v>
      </c>
      <c r="I623" t="s">
        <v>47</v>
      </c>
      <c r="J623">
        <v>1</v>
      </c>
      <c r="K623">
        <v>1</v>
      </c>
      <c r="L623">
        <v>0</v>
      </c>
      <c r="M623" t="s">
        <v>45</v>
      </c>
      <c r="N623" t="s">
        <v>47</v>
      </c>
      <c r="O623">
        <v>4</v>
      </c>
      <c r="P623">
        <v>0</v>
      </c>
    </row>
    <row r="624" spans="1:16" x14ac:dyDescent="0.4">
      <c r="A624" t="s">
        <v>673</v>
      </c>
      <c r="B624">
        <v>17</v>
      </c>
      <c r="C624" t="s">
        <v>56</v>
      </c>
      <c r="D624" t="s">
        <v>49</v>
      </c>
      <c r="E624" t="s">
        <v>45</v>
      </c>
      <c r="F624">
        <v>0</v>
      </c>
      <c r="G624" t="s">
        <v>50</v>
      </c>
      <c r="H624" t="s">
        <v>47</v>
      </c>
      <c r="I624" t="s">
        <v>47</v>
      </c>
      <c r="J624">
        <v>0.5</v>
      </c>
      <c r="K624">
        <v>0</v>
      </c>
      <c r="L624">
        <v>0</v>
      </c>
      <c r="M624" t="s">
        <v>45</v>
      </c>
      <c r="N624" t="s">
        <v>47</v>
      </c>
      <c r="O624">
        <v>1</v>
      </c>
      <c r="P624">
        <v>11</v>
      </c>
    </row>
    <row r="625" spans="1:16" x14ac:dyDescent="0.4">
      <c r="A625" t="s">
        <v>674</v>
      </c>
      <c r="B625">
        <v>17</v>
      </c>
      <c r="C625" t="s">
        <v>56</v>
      </c>
      <c r="D625" t="s">
        <v>44</v>
      </c>
      <c r="E625" t="s">
        <v>45</v>
      </c>
      <c r="F625">
        <v>1</v>
      </c>
      <c r="G625" t="s">
        <v>46</v>
      </c>
      <c r="H625" t="s">
        <v>45</v>
      </c>
      <c r="I625" t="s">
        <v>47</v>
      </c>
      <c r="J625">
        <v>4.25</v>
      </c>
      <c r="K625">
        <v>0</v>
      </c>
      <c r="L625">
        <v>0</v>
      </c>
      <c r="M625" t="s">
        <v>45</v>
      </c>
      <c r="N625" t="s">
        <v>47</v>
      </c>
      <c r="O625">
        <v>2</v>
      </c>
      <c r="P625">
        <v>17</v>
      </c>
    </row>
    <row r="626" spans="1:16" x14ac:dyDescent="0.4">
      <c r="A626" t="s">
        <v>675</v>
      </c>
      <c r="B626">
        <v>18</v>
      </c>
      <c r="C626" t="s">
        <v>43</v>
      </c>
      <c r="D626" t="s">
        <v>44</v>
      </c>
      <c r="E626" t="s">
        <v>45</v>
      </c>
      <c r="F626">
        <v>1</v>
      </c>
      <c r="G626" t="s">
        <v>46</v>
      </c>
      <c r="H626" t="s">
        <v>45</v>
      </c>
      <c r="I626" t="s">
        <v>47</v>
      </c>
      <c r="J626">
        <v>4.5</v>
      </c>
      <c r="K626">
        <v>0</v>
      </c>
      <c r="L626">
        <v>2</v>
      </c>
      <c r="M626" t="s">
        <v>45</v>
      </c>
      <c r="N626" t="s">
        <v>45</v>
      </c>
      <c r="O626">
        <v>2</v>
      </c>
      <c r="P626">
        <v>16</v>
      </c>
    </row>
    <row r="627" spans="1:16" x14ac:dyDescent="0.4">
      <c r="A627" t="s">
        <v>676</v>
      </c>
      <c r="B627">
        <v>16</v>
      </c>
      <c r="C627" t="s">
        <v>43</v>
      </c>
      <c r="D627" t="s">
        <v>44</v>
      </c>
      <c r="E627" t="s">
        <v>45</v>
      </c>
      <c r="F627">
        <v>0</v>
      </c>
      <c r="G627" t="s">
        <v>46</v>
      </c>
      <c r="H627" t="s">
        <v>45</v>
      </c>
      <c r="I627" t="s">
        <v>47</v>
      </c>
      <c r="J627">
        <v>2.75</v>
      </c>
      <c r="K627">
        <v>0</v>
      </c>
      <c r="L627">
        <v>0</v>
      </c>
      <c r="M627" t="s">
        <v>45</v>
      </c>
      <c r="N627" t="s">
        <v>45</v>
      </c>
      <c r="O627">
        <v>1</v>
      </c>
      <c r="P627">
        <v>13</v>
      </c>
    </row>
    <row r="628" spans="1:16" x14ac:dyDescent="0.4">
      <c r="A628" t="s">
        <v>677</v>
      </c>
      <c r="B628">
        <v>16</v>
      </c>
      <c r="C628" t="s">
        <v>56</v>
      </c>
      <c r="D628" t="s">
        <v>44</v>
      </c>
      <c r="E628" t="s">
        <v>45</v>
      </c>
      <c r="F628">
        <v>0</v>
      </c>
      <c r="G628" t="s">
        <v>50</v>
      </c>
      <c r="H628" t="s">
        <v>47</v>
      </c>
      <c r="I628" t="s">
        <v>47</v>
      </c>
      <c r="J628">
        <v>9.5</v>
      </c>
      <c r="K628">
        <v>1</v>
      </c>
      <c r="L628">
        <v>3</v>
      </c>
      <c r="M628" t="s">
        <v>45</v>
      </c>
      <c r="N628" t="s">
        <v>47</v>
      </c>
      <c r="O628">
        <v>1</v>
      </c>
      <c r="P628">
        <v>8</v>
      </c>
    </row>
    <row r="629" spans="1:16" x14ac:dyDescent="0.4">
      <c r="A629" t="s">
        <v>678</v>
      </c>
      <c r="B629">
        <v>16</v>
      </c>
      <c r="C629" t="s">
        <v>56</v>
      </c>
      <c r="D629" t="s">
        <v>44</v>
      </c>
      <c r="E629" t="s">
        <v>45</v>
      </c>
      <c r="F629">
        <v>0</v>
      </c>
      <c r="G629" t="s">
        <v>46</v>
      </c>
      <c r="H629" t="s">
        <v>45</v>
      </c>
      <c r="I629" t="s">
        <v>45</v>
      </c>
      <c r="J629">
        <v>3.75</v>
      </c>
      <c r="K629">
        <v>1</v>
      </c>
      <c r="L629">
        <v>12</v>
      </c>
      <c r="M629" t="s">
        <v>45</v>
      </c>
      <c r="N629" t="s">
        <v>47</v>
      </c>
      <c r="O629">
        <v>1</v>
      </c>
      <c r="P629">
        <v>10</v>
      </c>
    </row>
    <row r="630" spans="1:16" x14ac:dyDescent="0.4">
      <c r="A630" t="s">
        <v>679</v>
      </c>
      <c r="B630">
        <v>17</v>
      </c>
      <c r="C630" t="s">
        <v>43</v>
      </c>
      <c r="D630" t="s">
        <v>44</v>
      </c>
      <c r="E630" t="s">
        <v>47</v>
      </c>
      <c r="F630">
        <v>2</v>
      </c>
      <c r="G630" t="s">
        <v>46</v>
      </c>
      <c r="H630" t="s">
        <v>45</v>
      </c>
      <c r="I630" t="s">
        <v>47</v>
      </c>
      <c r="J630">
        <v>3</v>
      </c>
      <c r="K630">
        <v>0</v>
      </c>
      <c r="L630">
        <v>0</v>
      </c>
      <c r="M630" t="s">
        <v>45</v>
      </c>
      <c r="N630" t="s">
        <v>47</v>
      </c>
      <c r="O630">
        <v>2</v>
      </c>
      <c r="P630">
        <v>10</v>
      </c>
    </row>
    <row r="631" spans="1:16" x14ac:dyDescent="0.4">
      <c r="A631" t="s">
        <v>680</v>
      </c>
      <c r="B631">
        <v>19</v>
      </c>
      <c r="C631" t="s">
        <v>56</v>
      </c>
      <c r="D631" t="s">
        <v>44</v>
      </c>
      <c r="E631" t="s">
        <v>47</v>
      </c>
      <c r="F631">
        <v>0</v>
      </c>
      <c r="G631" t="s">
        <v>46</v>
      </c>
      <c r="H631" t="s">
        <v>47</v>
      </c>
      <c r="I631" t="s">
        <v>47</v>
      </c>
      <c r="J631">
        <v>0.75</v>
      </c>
      <c r="K631">
        <v>1</v>
      </c>
      <c r="L631">
        <v>16</v>
      </c>
      <c r="M631" t="s">
        <v>47</v>
      </c>
      <c r="N631" t="s">
        <v>47</v>
      </c>
      <c r="O631">
        <v>3</v>
      </c>
      <c r="P631">
        <v>11</v>
      </c>
    </row>
    <row r="632" spans="1:16" x14ac:dyDescent="0.4">
      <c r="A632" t="s">
        <v>681</v>
      </c>
      <c r="B632">
        <v>18</v>
      </c>
      <c r="C632" t="s">
        <v>43</v>
      </c>
      <c r="D632" t="s">
        <v>44</v>
      </c>
      <c r="E632" t="s">
        <v>47</v>
      </c>
      <c r="F632">
        <v>2</v>
      </c>
      <c r="G632" t="s">
        <v>46</v>
      </c>
      <c r="H632" t="s">
        <v>45</v>
      </c>
      <c r="I632" t="s">
        <v>47</v>
      </c>
      <c r="J632">
        <v>4</v>
      </c>
      <c r="K632">
        <v>0</v>
      </c>
      <c r="L632">
        <v>0</v>
      </c>
      <c r="M632" t="s">
        <v>45</v>
      </c>
      <c r="N632" t="s">
        <v>47</v>
      </c>
      <c r="O632">
        <v>1</v>
      </c>
      <c r="P632">
        <v>17</v>
      </c>
    </row>
    <row r="633" spans="1:16" x14ac:dyDescent="0.4">
      <c r="A633" t="s">
        <v>682</v>
      </c>
      <c r="B633">
        <v>16</v>
      </c>
      <c r="C633" t="s">
        <v>43</v>
      </c>
      <c r="D633" t="s">
        <v>44</v>
      </c>
      <c r="E633" t="s">
        <v>47</v>
      </c>
      <c r="F633">
        <v>1</v>
      </c>
      <c r="G633" t="s">
        <v>50</v>
      </c>
      <c r="H633" t="s">
        <v>45</v>
      </c>
      <c r="I633" t="s">
        <v>47</v>
      </c>
      <c r="J633">
        <v>1.25</v>
      </c>
      <c r="K633">
        <v>0</v>
      </c>
      <c r="L633">
        <v>8</v>
      </c>
      <c r="M633" t="s">
        <v>45</v>
      </c>
      <c r="N633" t="s">
        <v>47</v>
      </c>
      <c r="O633">
        <v>2</v>
      </c>
      <c r="P633">
        <v>13</v>
      </c>
    </row>
    <row r="634" spans="1:16" x14ac:dyDescent="0.4">
      <c r="A634" t="s">
        <v>683</v>
      </c>
      <c r="B634">
        <v>16</v>
      </c>
      <c r="C634" t="s">
        <v>56</v>
      </c>
      <c r="D634" t="s">
        <v>44</v>
      </c>
      <c r="E634" t="s">
        <v>45</v>
      </c>
      <c r="F634">
        <v>0</v>
      </c>
      <c r="G634" t="s">
        <v>46</v>
      </c>
      <c r="H634" t="s">
        <v>47</v>
      </c>
      <c r="I634" t="s">
        <v>45</v>
      </c>
      <c r="J634">
        <v>15</v>
      </c>
      <c r="K634">
        <v>0</v>
      </c>
      <c r="L634">
        <v>0</v>
      </c>
      <c r="M634" t="s">
        <v>45</v>
      </c>
      <c r="N634" t="s">
        <v>47</v>
      </c>
      <c r="O634">
        <v>1</v>
      </c>
      <c r="P634">
        <v>10</v>
      </c>
    </row>
    <row r="635" spans="1:16" x14ac:dyDescent="0.4">
      <c r="A635" t="s">
        <v>684</v>
      </c>
      <c r="B635">
        <v>17</v>
      </c>
      <c r="C635" t="s">
        <v>56</v>
      </c>
      <c r="D635" t="s">
        <v>49</v>
      </c>
      <c r="E635" t="s">
        <v>45</v>
      </c>
      <c r="F635">
        <v>2</v>
      </c>
      <c r="G635" t="s">
        <v>46</v>
      </c>
      <c r="H635" t="s">
        <v>45</v>
      </c>
      <c r="I635" t="s">
        <v>47</v>
      </c>
      <c r="J635">
        <v>1.25</v>
      </c>
      <c r="K635">
        <v>0</v>
      </c>
      <c r="L635">
        <v>2</v>
      </c>
      <c r="M635" t="s">
        <v>45</v>
      </c>
      <c r="N635" t="s">
        <v>47</v>
      </c>
      <c r="O635">
        <v>1</v>
      </c>
      <c r="P635">
        <v>17</v>
      </c>
    </row>
    <row r="636" spans="1:16" x14ac:dyDescent="0.4">
      <c r="A636" t="s">
        <v>685</v>
      </c>
      <c r="B636">
        <v>16</v>
      </c>
      <c r="C636" t="s">
        <v>56</v>
      </c>
      <c r="D636" t="s">
        <v>49</v>
      </c>
      <c r="E636" t="s">
        <v>47</v>
      </c>
      <c r="F636">
        <v>0</v>
      </c>
      <c r="G636" t="s">
        <v>50</v>
      </c>
      <c r="H636" t="s">
        <v>45</v>
      </c>
      <c r="I636" t="s">
        <v>47</v>
      </c>
      <c r="J636">
        <v>0.75</v>
      </c>
      <c r="K636">
        <v>0</v>
      </c>
      <c r="L636">
        <v>2</v>
      </c>
      <c r="M636" t="s">
        <v>45</v>
      </c>
      <c r="N636" t="s">
        <v>45</v>
      </c>
      <c r="O636">
        <v>2</v>
      </c>
      <c r="P636">
        <v>14</v>
      </c>
    </row>
    <row r="637" spans="1:16" x14ac:dyDescent="0.4">
      <c r="A637" t="s">
        <v>686</v>
      </c>
      <c r="B637">
        <v>18</v>
      </c>
      <c r="C637" t="s">
        <v>56</v>
      </c>
      <c r="D637" t="s">
        <v>49</v>
      </c>
      <c r="E637" t="s">
        <v>45</v>
      </c>
      <c r="F637">
        <v>0</v>
      </c>
      <c r="G637" t="s">
        <v>50</v>
      </c>
      <c r="H637" t="s">
        <v>47</v>
      </c>
      <c r="I637" t="s">
        <v>47</v>
      </c>
      <c r="J637">
        <v>5</v>
      </c>
      <c r="K637">
        <v>0</v>
      </c>
      <c r="L637">
        <v>5</v>
      </c>
      <c r="M637" t="s">
        <v>45</v>
      </c>
      <c r="N637" t="s">
        <v>45</v>
      </c>
      <c r="O637">
        <v>1</v>
      </c>
      <c r="P637">
        <v>15</v>
      </c>
    </row>
    <row r="638" spans="1:16" x14ac:dyDescent="0.4">
      <c r="A638" t="s">
        <v>687</v>
      </c>
      <c r="B638">
        <v>16</v>
      </c>
      <c r="C638" t="s">
        <v>56</v>
      </c>
      <c r="D638" t="s">
        <v>49</v>
      </c>
      <c r="E638" t="s">
        <v>45</v>
      </c>
      <c r="F638">
        <v>0</v>
      </c>
      <c r="G638" t="s">
        <v>50</v>
      </c>
      <c r="H638" t="s">
        <v>45</v>
      </c>
      <c r="I638" t="s">
        <v>47</v>
      </c>
      <c r="J638">
        <v>0.75</v>
      </c>
      <c r="K638">
        <v>0</v>
      </c>
      <c r="L638">
        <v>0</v>
      </c>
      <c r="M638" t="s">
        <v>45</v>
      </c>
      <c r="N638" t="s">
        <v>47</v>
      </c>
      <c r="O638">
        <v>1</v>
      </c>
      <c r="P638">
        <v>12</v>
      </c>
    </row>
    <row r="639" spans="1:16" x14ac:dyDescent="0.4">
      <c r="A639" t="s">
        <v>688</v>
      </c>
      <c r="B639">
        <v>18</v>
      </c>
      <c r="C639" t="s">
        <v>43</v>
      </c>
      <c r="D639" t="s">
        <v>44</v>
      </c>
      <c r="E639" t="s">
        <v>45</v>
      </c>
      <c r="F639">
        <v>2</v>
      </c>
      <c r="G639" t="s">
        <v>50</v>
      </c>
      <c r="H639" t="s">
        <v>45</v>
      </c>
      <c r="I639" t="s">
        <v>47</v>
      </c>
      <c r="J639">
        <v>4</v>
      </c>
      <c r="K639">
        <v>0</v>
      </c>
      <c r="L639">
        <v>4</v>
      </c>
      <c r="M639" t="s">
        <v>45</v>
      </c>
      <c r="N639" t="s">
        <v>47</v>
      </c>
      <c r="O639">
        <v>2</v>
      </c>
      <c r="P639">
        <v>19</v>
      </c>
    </row>
    <row r="640" spans="1:16" x14ac:dyDescent="0.4">
      <c r="A640" t="s">
        <v>689</v>
      </c>
      <c r="B640">
        <v>19</v>
      </c>
      <c r="C640" t="s">
        <v>43</v>
      </c>
      <c r="D640" t="s">
        <v>44</v>
      </c>
      <c r="E640" t="s">
        <v>45</v>
      </c>
      <c r="F640">
        <v>1</v>
      </c>
      <c r="G640" t="s">
        <v>46</v>
      </c>
      <c r="H640" t="s">
        <v>45</v>
      </c>
      <c r="I640" t="s">
        <v>47</v>
      </c>
      <c r="J640">
        <v>4</v>
      </c>
      <c r="K640">
        <v>0</v>
      </c>
      <c r="L640">
        <v>9</v>
      </c>
      <c r="M640" t="s">
        <v>45</v>
      </c>
      <c r="N640" t="s">
        <v>45</v>
      </c>
      <c r="O640">
        <v>1</v>
      </c>
      <c r="P640">
        <v>10</v>
      </c>
    </row>
    <row r="641" spans="1:16" x14ac:dyDescent="0.4">
      <c r="A641" t="s">
        <v>690</v>
      </c>
      <c r="B641">
        <v>16</v>
      </c>
      <c r="C641" t="s">
        <v>56</v>
      </c>
      <c r="D641" t="s">
        <v>44</v>
      </c>
      <c r="E641" t="s">
        <v>45</v>
      </c>
      <c r="F641">
        <v>0</v>
      </c>
      <c r="G641" t="s">
        <v>46</v>
      </c>
      <c r="H641" t="s">
        <v>45</v>
      </c>
      <c r="I641" t="s">
        <v>45</v>
      </c>
      <c r="J641">
        <v>1.5</v>
      </c>
      <c r="K641">
        <v>0</v>
      </c>
      <c r="L641">
        <v>0</v>
      </c>
      <c r="M641" t="s">
        <v>45</v>
      </c>
      <c r="N641" t="s">
        <v>45</v>
      </c>
      <c r="O641">
        <v>5</v>
      </c>
      <c r="P641">
        <v>16</v>
      </c>
    </row>
    <row r="642" spans="1:16" x14ac:dyDescent="0.4">
      <c r="A642" t="s">
        <v>691</v>
      </c>
      <c r="B642">
        <v>18</v>
      </c>
      <c r="C642" t="s">
        <v>56</v>
      </c>
      <c r="D642" t="s">
        <v>44</v>
      </c>
      <c r="E642" t="s">
        <v>45</v>
      </c>
      <c r="F642">
        <v>0</v>
      </c>
      <c r="G642" t="s">
        <v>50</v>
      </c>
      <c r="H642" t="s">
        <v>45</v>
      </c>
      <c r="I642" t="s">
        <v>47</v>
      </c>
      <c r="J642">
        <v>2.75</v>
      </c>
      <c r="K642">
        <v>0</v>
      </c>
      <c r="L642">
        <v>2</v>
      </c>
      <c r="M642" t="s">
        <v>45</v>
      </c>
      <c r="N642" t="s">
        <v>47</v>
      </c>
      <c r="O642">
        <v>1</v>
      </c>
      <c r="P642">
        <v>14</v>
      </c>
    </row>
    <row r="643" spans="1:16" x14ac:dyDescent="0.4">
      <c r="A643" t="s">
        <v>692</v>
      </c>
      <c r="B643">
        <v>15</v>
      </c>
      <c r="C643" t="s">
        <v>43</v>
      </c>
      <c r="D643" t="s">
        <v>44</v>
      </c>
      <c r="E643" t="s">
        <v>47</v>
      </c>
      <c r="F643">
        <v>2</v>
      </c>
      <c r="G643" t="s">
        <v>46</v>
      </c>
      <c r="H643" t="s">
        <v>47</v>
      </c>
      <c r="I643" t="s">
        <v>47</v>
      </c>
      <c r="J643">
        <v>1.25</v>
      </c>
      <c r="K643">
        <v>0</v>
      </c>
      <c r="L643">
        <v>8</v>
      </c>
      <c r="M643" t="s">
        <v>45</v>
      </c>
      <c r="N643" t="s">
        <v>45</v>
      </c>
      <c r="O643">
        <v>3</v>
      </c>
      <c r="P643">
        <v>11</v>
      </c>
    </row>
    <row r="644" spans="1:16" x14ac:dyDescent="0.4">
      <c r="A644" t="s">
        <v>693</v>
      </c>
      <c r="B644">
        <v>15</v>
      </c>
      <c r="C644" t="s">
        <v>43</v>
      </c>
      <c r="D644" t="s">
        <v>49</v>
      </c>
      <c r="E644" t="s">
        <v>45</v>
      </c>
      <c r="F644">
        <v>2</v>
      </c>
      <c r="G644" t="s">
        <v>46</v>
      </c>
      <c r="H644" t="s">
        <v>45</v>
      </c>
      <c r="I644" t="s">
        <v>47</v>
      </c>
      <c r="J644">
        <v>13.5</v>
      </c>
      <c r="K644">
        <v>0</v>
      </c>
      <c r="L644">
        <v>8</v>
      </c>
      <c r="M644" t="s">
        <v>45</v>
      </c>
      <c r="N644" t="s">
        <v>45</v>
      </c>
      <c r="O644">
        <v>4</v>
      </c>
      <c r="P644">
        <v>11</v>
      </c>
    </row>
    <row r="645" spans="1:16" x14ac:dyDescent="0.4">
      <c r="A645" t="s">
        <v>694</v>
      </c>
      <c r="B645">
        <v>18</v>
      </c>
      <c r="C645" t="s">
        <v>56</v>
      </c>
      <c r="D645" t="s">
        <v>44</v>
      </c>
      <c r="E645" t="s">
        <v>45</v>
      </c>
      <c r="F645">
        <v>2</v>
      </c>
      <c r="G645" t="s">
        <v>50</v>
      </c>
      <c r="H645" t="s">
        <v>45</v>
      </c>
      <c r="I645" t="s">
        <v>47</v>
      </c>
      <c r="J645">
        <v>4.25</v>
      </c>
      <c r="K645">
        <v>0</v>
      </c>
      <c r="L645">
        <v>0</v>
      </c>
      <c r="M645" t="s">
        <v>45</v>
      </c>
      <c r="N645" t="s">
        <v>47</v>
      </c>
      <c r="O645">
        <v>1</v>
      </c>
      <c r="P645">
        <v>18</v>
      </c>
    </row>
    <row r="646" spans="1:16" x14ac:dyDescent="0.4">
      <c r="A646" t="s">
        <v>695</v>
      </c>
      <c r="B646">
        <v>19</v>
      </c>
      <c r="C646" t="s">
        <v>56</v>
      </c>
      <c r="D646" t="s">
        <v>44</v>
      </c>
      <c r="E646" t="s">
        <v>45</v>
      </c>
      <c r="F646">
        <v>2</v>
      </c>
      <c r="G646" t="s">
        <v>46</v>
      </c>
      <c r="H646" t="s">
        <v>47</v>
      </c>
      <c r="I646" t="s">
        <v>47</v>
      </c>
      <c r="J646">
        <v>0.75</v>
      </c>
      <c r="K646">
        <v>1</v>
      </c>
      <c r="L646">
        <v>5</v>
      </c>
      <c r="M646" t="s">
        <v>45</v>
      </c>
      <c r="N646" t="s">
        <v>45</v>
      </c>
      <c r="O646">
        <v>4</v>
      </c>
      <c r="P646">
        <v>11</v>
      </c>
    </row>
    <row r="647" spans="1:16" x14ac:dyDescent="0.4">
      <c r="A647" t="s">
        <v>696</v>
      </c>
      <c r="B647">
        <v>17</v>
      </c>
      <c r="C647" t="s">
        <v>56</v>
      </c>
      <c r="D647" t="s">
        <v>44</v>
      </c>
      <c r="E647" t="s">
        <v>45</v>
      </c>
      <c r="F647">
        <v>0</v>
      </c>
      <c r="G647" t="s">
        <v>46</v>
      </c>
      <c r="H647" t="s">
        <v>47</v>
      </c>
      <c r="I647" t="s">
        <v>47</v>
      </c>
      <c r="J647">
        <v>4.75</v>
      </c>
      <c r="K647">
        <v>0</v>
      </c>
      <c r="L647">
        <v>12</v>
      </c>
      <c r="M647" t="s">
        <v>45</v>
      </c>
      <c r="N647" t="s">
        <v>47</v>
      </c>
      <c r="O647">
        <v>1</v>
      </c>
      <c r="P647">
        <v>14</v>
      </c>
    </row>
    <row r="648" spans="1:16" x14ac:dyDescent="0.4">
      <c r="A648" t="s">
        <v>697</v>
      </c>
      <c r="B648">
        <v>15</v>
      </c>
      <c r="C648" t="s">
        <v>56</v>
      </c>
      <c r="D648" t="s">
        <v>49</v>
      </c>
      <c r="E648" t="s">
        <v>47</v>
      </c>
      <c r="F648">
        <v>0</v>
      </c>
      <c r="G648" t="s">
        <v>50</v>
      </c>
      <c r="H648" t="s">
        <v>47</v>
      </c>
      <c r="I648" t="s">
        <v>45</v>
      </c>
      <c r="J648">
        <v>6.25</v>
      </c>
      <c r="K648">
        <v>0</v>
      </c>
      <c r="L648">
        <v>2</v>
      </c>
      <c r="M648" t="s">
        <v>45</v>
      </c>
      <c r="N648" t="s">
        <v>47</v>
      </c>
      <c r="O648">
        <v>2</v>
      </c>
      <c r="P648">
        <v>12</v>
      </c>
    </row>
    <row r="649" spans="1:16" x14ac:dyDescent="0.4">
      <c r="A649" t="s">
        <v>698</v>
      </c>
      <c r="B649">
        <v>16</v>
      </c>
      <c r="C649" t="s">
        <v>43</v>
      </c>
      <c r="D649" t="s">
        <v>44</v>
      </c>
      <c r="E649" t="s">
        <v>45</v>
      </c>
      <c r="F649">
        <v>0</v>
      </c>
      <c r="G649" t="s">
        <v>46</v>
      </c>
      <c r="H649" t="s">
        <v>45</v>
      </c>
      <c r="I649" t="s">
        <v>47</v>
      </c>
      <c r="J649">
        <v>7.5</v>
      </c>
      <c r="K649">
        <v>0</v>
      </c>
      <c r="L649">
        <v>0</v>
      </c>
      <c r="M649" t="s">
        <v>45</v>
      </c>
      <c r="N649" t="s">
        <v>45</v>
      </c>
      <c r="O649">
        <v>2</v>
      </c>
      <c r="P649">
        <v>12</v>
      </c>
    </row>
    <row r="650" spans="1:16" x14ac:dyDescent="0.4">
      <c r="A650" t="s">
        <v>699</v>
      </c>
      <c r="B650">
        <v>16</v>
      </c>
      <c r="C650" t="s">
        <v>43</v>
      </c>
      <c r="D650" t="s">
        <v>44</v>
      </c>
      <c r="E650" t="s">
        <v>47</v>
      </c>
      <c r="F650">
        <v>0</v>
      </c>
      <c r="G650" t="s">
        <v>46</v>
      </c>
      <c r="H650" t="s">
        <v>47</v>
      </c>
      <c r="I650" t="s">
        <v>47</v>
      </c>
      <c r="J650">
        <v>4.25</v>
      </c>
      <c r="K650">
        <v>0</v>
      </c>
      <c r="L650">
        <v>2</v>
      </c>
      <c r="M650" t="s">
        <v>45</v>
      </c>
      <c r="N650" t="s">
        <v>47</v>
      </c>
      <c r="O650">
        <v>1</v>
      </c>
      <c r="P650">
        <v>9</v>
      </c>
    </row>
  </sheetData>
  <phoneticPr fontId="18" type="noConversion"/>
  <pageMargins left="0.75" right="0.75" top="1" bottom="1" header="0.5" footer="0.5"/>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2F9FB-1A53-4D52-81CB-0F178B7F6FD7}">
  <dimension ref="A1:D14"/>
  <sheetViews>
    <sheetView workbookViewId="0">
      <selection activeCell="F11" sqref="F11"/>
    </sheetView>
  </sheetViews>
  <sheetFormatPr defaultColWidth="8.83203125" defaultRowHeight="16" x14ac:dyDescent="0.4"/>
  <cols>
    <col min="1" max="1" width="14.83203125" customWidth="1"/>
    <col min="2" max="2" width="11.33203125" customWidth="1"/>
    <col min="3" max="3" width="50.5" bestFit="1" customWidth="1"/>
    <col min="4" max="4" width="10.83203125" bestFit="1" customWidth="1"/>
  </cols>
  <sheetData>
    <row r="1" spans="1:4" x14ac:dyDescent="0.4">
      <c r="A1" s="6" t="s">
        <v>0</v>
      </c>
    </row>
    <row r="2" spans="1:4" x14ac:dyDescent="0.4">
      <c r="A2" t="s">
        <v>1</v>
      </c>
    </row>
    <row r="3" spans="1:4" x14ac:dyDescent="0.4">
      <c r="A3" t="s">
        <v>2</v>
      </c>
    </row>
    <row r="4" spans="1:4" x14ac:dyDescent="0.4">
      <c r="A4" t="s">
        <v>3</v>
      </c>
    </row>
    <row r="6" spans="1:4" x14ac:dyDescent="0.4">
      <c r="A6" s="8" t="s">
        <v>4</v>
      </c>
      <c r="B6" s="8" t="s">
        <v>5</v>
      </c>
      <c r="C6" s="8" t="s">
        <v>6</v>
      </c>
      <c r="D6" s="8" t="s">
        <v>5</v>
      </c>
    </row>
    <row r="7" spans="1:4" x14ac:dyDescent="0.4">
      <c r="A7" t="s">
        <v>24</v>
      </c>
      <c r="B7" t="s">
        <v>14</v>
      </c>
      <c r="C7" t="s">
        <v>25</v>
      </c>
      <c r="D7" t="s">
        <v>700</v>
      </c>
    </row>
    <row r="8" spans="1:4" x14ac:dyDescent="0.4">
      <c r="A8" t="s">
        <v>26</v>
      </c>
      <c r="B8" t="s">
        <v>14</v>
      </c>
      <c r="C8" t="s">
        <v>27</v>
      </c>
      <c r="D8" t="s">
        <v>700</v>
      </c>
    </row>
    <row r="9" spans="1:4" x14ac:dyDescent="0.4">
      <c r="A9" t="s">
        <v>701</v>
      </c>
      <c r="B9" t="s">
        <v>11</v>
      </c>
      <c r="C9" t="s">
        <v>29</v>
      </c>
      <c r="D9" t="s">
        <v>700</v>
      </c>
    </row>
    <row r="10" spans="1:4" x14ac:dyDescent="0.4">
      <c r="A10" t="s">
        <v>30</v>
      </c>
      <c r="B10" t="s">
        <v>11</v>
      </c>
      <c r="C10" t="s">
        <v>31</v>
      </c>
      <c r="D10" t="s">
        <v>700</v>
      </c>
    </row>
    <row r="11" spans="1:4" x14ac:dyDescent="0.4">
      <c r="A11" t="s">
        <v>32</v>
      </c>
      <c r="B11" t="s">
        <v>11</v>
      </c>
      <c r="C11" t="s">
        <v>33</v>
      </c>
      <c r="D11" t="s">
        <v>700</v>
      </c>
    </row>
    <row r="12" spans="1:4" x14ac:dyDescent="0.4">
      <c r="A12" t="s">
        <v>34</v>
      </c>
      <c r="B12" t="s">
        <v>14</v>
      </c>
      <c r="C12" t="s">
        <v>35</v>
      </c>
      <c r="D12" t="s">
        <v>700</v>
      </c>
    </row>
    <row r="13" spans="1:4" x14ac:dyDescent="0.4">
      <c r="A13" t="s">
        <v>38</v>
      </c>
      <c r="B13" t="s">
        <v>11</v>
      </c>
      <c r="C13" t="s">
        <v>39</v>
      </c>
      <c r="D13" t="s">
        <v>700</v>
      </c>
    </row>
    <row r="14" spans="1:4" x14ac:dyDescent="0.4">
      <c r="A14" t="s">
        <v>40</v>
      </c>
      <c r="B14" t="s">
        <v>11</v>
      </c>
      <c r="C14" t="s">
        <v>41</v>
      </c>
      <c r="D14" t="s">
        <v>702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00357-72AF-4F73-8BD3-B2D0C68C8B28}">
  <dimension ref="A1:J300"/>
  <sheetViews>
    <sheetView zoomScale="94" zoomScaleNormal="95" workbookViewId="0">
      <selection activeCell="F1" sqref="F1:F300"/>
    </sheetView>
  </sheetViews>
  <sheetFormatPr defaultColWidth="8.83203125" defaultRowHeight="16" x14ac:dyDescent="0.4"/>
  <cols>
    <col min="1" max="1" width="14" bestFit="1" customWidth="1"/>
    <col min="2" max="2" width="13.5" bestFit="1" customWidth="1"/>
    <col min="3" max="3" width="10" bestFit="1" customWidth="1"/>
    <col min="10" max="10" width="9.5" customWidth="1"/>
  </cols>
  <sheetData>
    <row r="1" spans="1:10" x14ac:dyDescent="0.4">
      <c r="A1" s="6" t="s">
        <v>24</v>
      </c>
      <c r="B1" s="6" t="s">
        <v>26</v>
      </c>
      <c r="C1" s="6" t="s">
        <v>28</v>
      </c>
      <c r="D1" s="6" t="s">
        <v>30</v>
      </c>
      <c r="E1" s="6" t="s">
        <v>32</v>
      </c>
      <c r="F1" s="6" t="s">
        <v>34</v>
      </c>
      <c r="G1" s="6" t="s">
        <v>38</v>
      </c>
      <c r="H1" s="6" t="s">
        <v>40</v>
      </c>
    </row>
    <row r="2" spans="1:10" x14ac:dyDescent="0.4">
      <c r="A2" t="s">
        <v>47</v>
      </c>
      <c r="B2" t="s">
        <v>45</v>
      </c>
      <c r="C2">
        <v>2.75</v>
      </c>
      <c r="D2">
        <v>1</v>
      </c>
      <c r="E2">
        <v>4</v>
      </c>
      <c r="F2" t="s">
        <v>45</v>
      </c>
      <c r="G2">
        <v>2</v>
      </c>
      <c r="H2">
        <v>10</v>
      </c>
    </row>
    <row r="3" spans="1:10" x14ac:dyDescent="0.4">
      <c r="A3" t="s">
        <v>45</v>
      </c>
      <c r="B3" t="s">
        <v>47</v>
      </c>
      <c r="C3">
        <v>3.75</v>
      </c>
      <c r="D3">
        <v>0</v>
      </c>
      <c r="E3">
        <v>0</v>
      </c>
      <c r="F3" t="s">
        <v>45</v>
      </c>
      <c r="G3">
        <v>1</v>
      </c>
      <c r="H3">
        <v>0</v>
      </c>
      <c r="J3" t="s">
        <v>703</v>
      </c>
    </row>
    <row r="4" spans="1:10" x14ac:dyDescent="0.4">
      <c r="A4" t="s">
        <v>47</v>
      </c>
      <c r="B4" t="s">
        <v>47</v>
      </c>
      <c r="C4">
        <v>0.25</v>
      </c>
      <c r="D4">
        <v>0</v>
      </c>
      <c r="E4">
        <v>0</v>
      </c>
      <c r="F4" t="s">
        <v>45</v>
      </c>
      <c r="G4">
        <v>3</v>
      </c>
      <c r="H4">
        <v>13</v>
      </c>
      <c r="J4" t="s">
        <v>704</v>
      </c>
    </row>
    <row r="5" spans="1:10" x14ac:dyDescent="0.4">
      <c r="A5" t="s">
        <v>45</v>
      </c>
      <c r="B5" t="s">
        <v>47</v>
      </c>
      <c r="C5">
        <v>2.75</v>
      </c>
      <c r="D5">
        <v>0</v>
      </c>
      <c r="E5">
        <v>0</v>
      </c>
      <c r="F5" t="s">
        <v>45</v>
      </c>
      <c r="G5">
        <v>1</v>
      </c>
      <c r="H5">
        <v>11</v>
      </c>
    </row>
    <row r="6" spans="1:10" x14ac:dyDescent="0.4">
      <c r="A6" t="s">
        <v>45</v>
      </c>
      <c r="B6" t="s">
        <v>47</v>
      </c>
      <c r="C6">
        <v>0.25</v>
      </c>
      <c r="D6">
        <v>0</v>
      </c>
      <c r="E6">
        <v>2</v>
      </c>
      <c r="F6" t="s">
        <v>45</v>
      </c>
      <c r="G6">
        <v>3</v>
      </c>
      <c r="H6">
        <v>10</v>
      </c>
    </row>
    <row r="7" spans="1:10" x14ac:dyDescent="0.4">
      <c r="A7" t="s">
        <v>47</v>
      </c>
      <c r="B7" t="s">
        <v>47</v>
      </c>
      <c r="C7">
        <v>3.75</v>
      </c>
      <c r="D7">
        <v>0</v>
      </c>
      <c r="E7">
        <v>0</v>
      </c>
      <c r="F7" t="s">
        <v>45</v>
      </c>
      <c r="G7">
        <v>2</v>
      </c>
      <c r="H7">
        <v>15</v>
      </c>
    </row>
    <row r="8" spans="1:10" x14ac:dyDescent="0.4">
      <c r="A8" t="s">
        <v>45</v>
      </c>
      <c r="B8" t="s">
        <v>47</v>
      </c>
      <c r="C8">
        <v>7.25</v>
      </c>
      <c r="D8">
        <v>0</v>
      </c>
      <c r="E8">
        <v>0</v>
      </c>
      <c r="F8" t="s">
        <v>45</v>
      </c>
      <c r="G8">
        <v>2</v>
      </c>
      <c r="H8">
        <v>15</v>
      </c>
    </row>
    <row r="9" spans="1:10" x14ac:dyDescent="0.4">
      <c r="A9" t="s">
        <v>45</v>
      </c>
      <c r="B9" t="s">
        <v>47</v>
      </c>
      <c r="C9">
        <v>4</v>
      </c>
      <c r="D9">
        <v>0</v>
      </c>
      <c r="E9">
        <v>4</v>
      </c>
      <c r="F9" t="s">
        <v>45</v>
      </c>
      <c r="G9">
        <v>5</v>
      </c>
      <c r="H9">
        <v>12</v>
      </c>
    </row>
    <row r="10" spans="1:10" x14ac:dyDescent="0.4">
      <c r="A10" t="s">
        <v>45</v>
      </c>
      <c r="B10" t="s">
        <v>47</v>
      </c>
      <c r="C10">
        <v>3</v>
      </c>
      <c r="D10">
        <v>0</v>
      </c>
      <c r="E10">
        <v>0</v>
      </c>
      <c r="F10" t="s">
        <v>45</v>
      </c>
      <c r="G10">
        <v>1</v>
      </c>
      <c r="H10">
        <v>14</v>
      </c>
    </row>
    <row r="11" spans="1:10" x14ac:dyDescent="0.4">
      <c r="A11" t="s">
        <v>45</v>
      </c>
      <c r="B11" t="s">
        <v>47</v>
      </c>
      <c r="C11">
        <v>12.75</v>
      </c>
      <c r="D11">
        <v>0</v>
      </c>
      <c r="E11">
        <v>2</v>
      </c>
      <c r="F11" t="s">
        <v>45</v>
      </c>
      <c r="G11">
        <v>1</v>
      </c>
      <c r="H11">
        <v>12</v>
      </c>
    </row>
    <row r="12" spans="1:10" x14ac:dyDescent="0.4">
      <c r="A12" t="s">
        <v>45</v>
      </c>
      <c r="B12" t="s">
        <v>47</v>
      </c>
      <c r="C12">
        <v>3.25</v>
      </c>
      <c r="D12">
        <v>0</v>
      </c>
      <c r="E12">
        <v>6</v>
      </c>
      <c r="F12" t="s">
        <v>45</v>
      </c>
      <c r="G12">
        <v>2</v>
      </c>
      <c r="H12">
        <v>17</v>
      </c>
    </row>
    <row r="13" spans="1:10" x14ac:dyDescent="0.4">
      <c r="A13" t="s">
        <v>45</v>
      </c>
      <c r="B13" t="s">
        <v>47</v>
      </c>
      <c r="C13">
        <v>2.5</v>
      </c>
      <c r="D13">
        <v>0</v>
      </c>
      <c r="E13">
        <v>0</v>
      </c>
      <c r="F13" t="s">
        <v>45</v>
      </c>
      <c r="G13">
        <v>4</v>
      </c>
      <c r="H13">
        <v>0</v>
      </c>
    </row>
    <row r="14" spans="1:10" x14ac:dyDescent="0.4">
      <c r="A14" t="s">
        <v>45</v>
      </c>
      <c r="B14" t="s">
        <v>47</v>
      </c>
      <c r="C14">
        <v>0.25</v>
      </c>
      <c r="D14">
        <v>0</v>
      </c>
      <c r="E14">
        <v>3</v>
      </c>
      <c r="F14" t="s">
        <v>47</v>
      </c>
      <c r="G14">
        <v>2</v>
      </c>
      <c r="H14">
        <v>10</v>
      </c>
    </row>
    <row r="15" spans="1:10" x14ac:dyDescent="0.4">
      <c r="A15" t="s">
        <v>47</v>
      </c>
      <c r="B15" t="s">
        <v>47</v>
      </c>
      <c r="C15">
        <v>4.75</v>
      </c>
      <c r="D15">
        <v>0</v>
      </c>
      <c r="E15">
        <v>8</v>
      </c>
      <c r="F15" t="s">
        <v>45</v>
      </c>
      <c r="G15">
        <v>1</v>
      </c>
      <c r="H15">
        <v>14</v>
      </c>
    </row>
    <row r="16" spans="1:10" x14ac:dyDescent="0.4">
      <c r="A16" t="s">
        <v>45</v>
      </c>
      <c r="B16" t="s">
        <v>47</v>
      </c>
      <c r="C16">
        <v>3</v>
      </c>
      <c r="D16">
        <v>2</v>
      </c>
      <c r="E16">
        <v>3</v>
      </c>
      <c r="F16" t="s">
        <v>45</v>
      </c>
      <c r="G16">
        <v>2</v>
      </c>
      <c r="H16">
        <v>7</v>
      </c>
    </row>
    <row r="17" spans="1:8" x14ac:dyDescent="0.4">
      <c r="A17" t="s">
        <v>47</v>
      </c>
      <c r="B17" t="s">
        <v>47</v>
      </c>
      <c r="C17">
        <v>14.25</v>
      </c>
      <c r="D17">
        <v>0</v>
      </c>
      <c r="E17">
        <v>6</v>
      </c>
      <c r="F17" t="s">
        <v>45</v>
      </c>
      <c r="G17">
        <v>2</v>
      </c>
      <c r="H17">
        <v>15</v>
      </c>
    </row>
    <row r="18" spans="1:8" x14ac:dyDescent="0.4">
      <c r="A18" t="s">
        <v>47</v>
      </c>
      <c r="B18" t="s">
        <v>47</v>
      </c>
      <c r="C18">
        <v>3.5</v>
      </c>
      <c r="D18">
        <v>0</v>
      </c>
      <c r="E18">
        <v>0</v>
      </c>
      <c r="F18" t="s">
        <v>45</v>
      </c>
      <c r="G18">
        <v>1</v>
      </c>
      <c r="H18">
        <v>11</v>
      </c>
    </row>
    <row r="19" spans="1:8" x14ac:dyDescent="0.4">
      <c r="A19" t="s">
        <v>47</v>
      </c>
      <c r="B19" t="s">
        <v>47</v>
      </c>
      <c r="C19">
        <v>2.5</v>
      </c>
      <c r="D19">
        <v>0</v>
      </c>
      <c r="E19">
        <v>0</v>
      </c>
      <c r="F19" t="s">
        <v>45</v>
      </c>
      <c r="G19">
        <v>1</v>
      </c>
      <c r="H19">
        <v>13</v>
      </c>
    </row>
    <row r="20" spans="1:8" x14ac:dyDescent="0.4">
      <c r="A20" t="s">
        <v>47</v>
      </c>
      <c r="B20" t="s">
        <v>47</v>
      </c>
      <c r="C20">
        <v>1.25</v>
      </c>
      <c r="D20">
        <v>0</v>
      </c>
      <c r="E20">
        <v>4</v>
      </c>
      <c r="F20" t="s">
        <v>45</v>
      </c>
      <c r="G20">
        <v>1</v>
      </c>
      <c r="H20">
        <v>12</v>
      </c>
    </row>
    <row r="21" spans="1:8" x14ac:dyDescent="0.4">
      <c r="A21" t="s">
        <v>47</v>
      </c>
      <c r="B21" t="s">
        <v>47</v>
      </c>
      <c r="C21">
        <v>1.25</v>
      </c>
      <c r="D21">
        <v>0</v>
      </c>
      <c r="E21">
        <v>0</v>
      </c>
      <c r="F21" t="s">
        <v>45</v>
      </c>
      <c r="G21">
        <v>2</v>
      </c>
      <c r="H21">
        <v>11</v>
      </c>
    </row>
    <row r="22" spans="1:8" x14ac:dyDescent="0.4">
      <c r="A22" t="s">
        <v>47</v>
      </c>
      <c r="B22" t="s">
        <v>47</v>
      </c>
      <c r="C22">
        <v>2.25</v>
      </c>
      <c r="D22">
        <v>0</v>
      </c>
      <c r="E22">
        <v>0</v>
      </c>
      <c r="F22" t="s">
        <v>45</v>
      </c>
      <c r="G22">
        <v>1</v>
      </c>
      <c r="H22">
        <v>16</v>
      </c>
    </row>
    <row r="23" spans="1:8" x14ac:dyDescent="0.4">
      <c r="A23" t="s">
        <v>47</v>
      </c>
      <c r="B23" t="s">
        <v>47</v>
      </c>
      <c r="C23">
        <v>4.25</v>
      </c>
      <c r="D23">
        <v>0</v>
      </c>
      <c r="E23">
        <v>4</v>
      </c>
      <c r="F23" t="s">
        <v>45</v>
      </c>
      <c r="G23">
        <v>1</v>
      </c>
      <c r="H23">
        <v>12</v>
      </c>
    </row>
    <row r="24" spans="1:8" x14ac:dyDescent="0.4">
      <c r="A24" t="s">
        <v>45</v>
      </c>
      <c r="B24" t="s">
        <v>47</v>
      </c>
      <c r="C24">
        <v>3.75</v>
      </c>
      <c r="D24">
        <v>0</v>
      </c>
      <c r="E24">
        <v>2</v>
      </c>
      <c r="F24" t="s">
        <v>45</v>
      </c>
      <c r="G24">
        <v>1</v>
      </c>
      <c r="H24">
        <v>13</v>
      </c>
    </row>
    <row r="25" spans="1:8" x14ac:dyDescent="0.4">
      <c r="A25" t="s">
        <v>47</v>
      </c>
      <c r="B25" t="s">
        <v>47</v>
      </c>
      <c r="C25">
        <v>1.5</v>
      </c>
      <c r="D25">
        <v>1</v>
      </c>
      <c r="E25">
        <v>12</v>
      </c>
      <c r="F25" t="s">
        <v>45</v>
      </c>
      <c r="G25">
        <v>1</v>
      </c>
      <c r="H25">
        <v>11</v>
      </c>
    </row>
    <row r="26" spans="1:8" x14ac:dyDescent="0.4">
      <c r="A26" t="s">
        <v>47</v>
      </c>
      <c r="B26" t="s">
        <v>47</v>
      </c>
      <c r="C26">
        <v>4</v>
      </c>
      <c r="D26">
        <v>0</v>
      </c>
      <c r="E26">
        <v>8</v>
      </c>
      <c r="F26" t="s">
        <v>45</v>
      </c>
      <c r="G26">
        <v>1</v>
      </c>
      <c r="H26">
        <v>15</v>
      </c>
    </row>
    <row r="27" spans="1:8" x14ac:dyDescent="0.4">
      <c r="A27" t="s">
        <v>45</v>
      </c>
      <c r="B27" t="s">
        <v>47</v>
      </c>
      <c r="C27">
        <v>3.75</v>
      </c>
      <c r="D27">
        <v>1</v>
      </c>
      <c r="E27">
        <v>3</v>
      </c>
      <c r="F27" t="s">
        <v>45</v>
      </c>
      <c r="G27">
        <v>1</v>
      </c>
      <c r="H27">
        <v>8</v>
      </c>
    </row>
    <row r="28" spans="1:8" x14ac:dyDescent="0.4">
      <c r="A28" t="s">
        <v>45</v>
      </c>
      <c r="B28" t="s">
        <v>47</v>
      </c>
      <c r="C28">
        <v>0.75</v>
      </c>
      <c r="D28">
        <v>1</v>
      </c>
      <c r="E28">
        <v>2</v>
      </c>
      <c r="F28" t="s">
        <v>45</v>
      </c>
      <c r="G28">
        <v>1</v>
      </c>
      <c r="H28">
        <v>9</v>
      </c>
    </row>
    <row r="29" spans="1:8" x14ac:dyDescent="0.4">
      <c r="A29" t="s">
        <v>47</v>
      </c>
      <c r="B29" t="s">
        <v>45</v>
      </c>
      <c r="C29">
        <v>11.75</v>
      </c>
      <c r="D29">
        <v>0</v>
      </c>
      <c r="E29">
        <v>10</v>
      </c>
      <c r="F29" t="s">
        <v>45</v>
      </c>
      <c r="G29">
        <v>1</v>
      </c>
      <c r="H29">
        <v>10</v>
      </c>
    </row>
    <row r="30" spans="1:8" x14ac:dyDescent="0.4">
      <c r="A30" t="s">
        <v>47</v>
      </c>
      <c r="B30" t="s">
        <v>45</v>
      </c>
      <c r="C30">
        <v>6</v>
      </c>
      <c r="D30">
        <v>0</v>
      </c>
      <c r="E30">
        <v>2</v>
      </c>
      <c r="F30" t="s">
        <v>45</v>
      </c>
      <c r="G30">
        <v>1</v>
      </c>
      <c r="H30">
        <v>9</v>
      </c>
    </row>
    <row r="31" spans="1:8" x14ac:dyDescent="0.4">
      <c r="A31" t="s">
        <v>47</v>
      </c>
      <c r="B31" t="s">
        <v>47</v>
      </c>
      <c r="C31">
        <v>2</v>
      </c>
      <c r="D31">
        <v>0</v>
      </c>
      <c r="E31">
        <v>4</v>
      </c>
      <c r="F31" t="s">
        <v>45</v>
      </c>
      <c r="G31">
        <v>2</v>
      </c>
      <c r="H31">
        <v>12</v>
      </c>
    </row>
    <row r="32" spans="1:8" x14ac:dyDescent="0.4">
      <c r="A32" t="s">
        <v>45</v>
      </c>
      <c r="B32" t="s">
        <v>47</v>
      </c>
      <c r="C32">
        <v>4.5</v>
      </c>
      <c r="D32">
        <v>0</v>
      </c>
      <c r="E32">
        <v>0</v>
      </c>
      <c r="F32" t="s">
        <v>45</v>
      </c>
      <c r="G32">
        <v>2</v>
      </c>
      <c r="H32">
        <v>14</v>
      </c>
    </row>
    <row r="33" spans="1:8" x14ac:dyDescent="0.4">
      <c r="A33" t="s">
        <v>47</v>
      </c>
      <c r="B33" t="s">
        <v>45</v>
      </c>
      <c r="C33">
        <v>3.5</v>
      </c>
      <c r="D33">
        <v>0</v>
      </c>
      <c r="E33">
        <v>2</v>
      </c>
      <c r="F33" t="s">
        <v>45</v>
      </c>
      <c r="G33">
        <v>3</v>
      </c>
      <c r="H33">
        <v>11</v>
      </c>
    </row>
    <row r="34" spans="1:8" x14ac:dyDescent="0.4">
      <c r="A34" t="s">
        <v>47</v>
      </c>
      <c r="B34" t="s">
        <v>47</v>
      </c>
      <c r="C34">
        <v>1.25</v>
      </c>
      <c r="D34">
        <v>0</v>
      </c>
      <c r="E34">
        <v>0</v>
      </c>
      <c r="F34" t="s">
        <v>47</v>
      </c>
      <c r="G34">
        <v>2</v>
      </c>
      <c r="H34">
        <v>9</v>
      </c>
    </row>
    <row r="35" spans="1:8" x14ac:dyDescent="0.4">
      <c r="A35" t="s">
        <v>47</v>
      </c>
      <c r="B35" t="s">
        <v>45</v>
      </c>
      <c r="C35">
        <v>2.5</v>
      </c>
      <c r="D35">
        <v>0</v>
      </c>
      <c r="E35">
        <v>0</v>
      </c>
      <c r="F35" t="s">
        <v>45</v>
      </c>
      <c r="G35">
        <v>2</v>
      </c>
      <c r="H35">
        <v>18</v>
      </c>
    </row>
    <row r="36" spans="1:8" x14ac:dyDescent="0.4">
      <c r="A36" t="s">
        <v>47</v>
      </c>
      <c r="B36" t="s">
        <v>45</v>
      </c>
      <c r="C36">
        <v>4.25</v>
      </c>
      <c r="D36">
        <v>0</v>
      </c>
      <c r="E36">
        <v>0</v>
      </c>
      <c r="F36" t="s">
        <v>45</v>
      </c>
      <c r="G36">
        <v>2</v>
      </c>
      <c r="H36">
        <v>11</v>
      </c>
    </row>
    <row r="37" spans="1:8" x14ac:dyDescent="0.4">
      <c r="A37" t="s">
        <v>45</v>
      </c>
      <c r="B37" t="s">
        <v>47</v>
      </c>
      <c r="C37">
        <v>2.75</v>
      </c>
      <c r="D37">
        <v>0</v>
      </c>
      <c r="E37">
        <v>4</v>
      </c>
      <c r="F37" t="s">
        <v>45</v>
      </c>
      <c r="G37">
        <v>1</v>
      </c>
      <c r="H37">
        <v>16</v>
      </c>
    </row>
    <row r="38" spans="1:8" x14ac:dyDescent="0.4">
      <c r="A38" t="s">
        <v>45</v>
      </c>
      <c r="B38" t="s">
        <v>47</v>
      </c>
      <c r="C38">
        <v>6.5</v>
      </c>
      <c r="D38">
        <v>0</v>
      </c>
      <c r="E38">
        <v>2</v>
      </c>
      <c r="F38" t="s">
        <v>45</v>
      </c>
      <c r="G38">
        <v>1</v>
      </c>
      <c r="H38">
        <v>12</v>
      </c>
    </row>
    <row r="39" spans="1:8" x14ac:dyDescent="0.4">
      <c r="A39" t="s">
        <v>47</v>
      </c>
      <c r="B39" t="s">
        <v>47</v>
      </c>
      <c r="C39">
        <v>3.5</v>
      </c>
      <c r="D39">
        <v>0</v>
      </c>
      <c r="E39">
        <v>0</v>
      </c>
      <c r="F39" t="s">
        <v>45</v>
      </c>
      <c r="G39">
        <v>1</v>
      </c>
      <c r="H39">
        <v>13</v>
      </c>
    </row>
    <row r="40" spans="1:8" x14ac:dyDescent="0.4">
      <c r="A40" t="s">
        <v>45</v>
      </c>
      <c r="B40" t="s">
        <v>47</v>
      </c>
      <c r="C40">
        <v>0.5</v>
      </c>
      <c r="D40">
        <v>0</v>
      </c>
      <c r="E40">
        <v>5</v>
      </c>
      <c r="F40" t="s">
        <v>45</v>
      </c>
      <c r="G40">
        <v>4</v>
      </c>
      <c r="H40">
        <v>10</v>
      </c>
    </row>
    <row r="41" spans="1:8" x14ac:dyDescent="0.4">
      <c r="A41" t="s">
        <v>47</v>
      </c>
      <c r="B41" t="s">
        <v>45</v>
      </c>
      <c r="C41">
        <v>0</v>
      </c>
      <c r="D41">
        <v>0</v>
      </c>
      <c r="E41">
        <v>2</v>
      </c>
      <c r="F41" t="s">
        <v>45</v>
      </c>
      <c r="G41">
        <v>3</v>
      </c>
      <c r="H41">
        <v>9</v>
      </c>
    </row>
    <row r="42" spans="1:8" x14ac:dyDescent="0.4">
      <c r="A42" t="s">
        <v>47</v>
      </c>
      <c r="B42" t="s">
        <v>47</v>
      </c>
      <c r="C42">
        <v>0</v>
      </c>
      <c r="D42">
        <v>0</v>
      </c>
      <c r="E42">
        <v>4</v>
      </c>
      <c r="F42" t="s">
        <v>47</v>
      </c>
      <c r="G42">
        <v>3</v>
      </c>
      <c r="H42">
        <v>14</v>
      </c>
    </row>
    <row r="43" spans="1:8" x14ac:dyDescent="0.4">
      <c r="A43" t="s">
        <v>45</v>
      </c>
      <c r="B43" t="s">
        <v>47</v>
      </c>
      <c r="C43">
        <v>8.5</v>
      </c>
      <c r="D43">
        <v>1</v>
      </c>
      <c r="E43">
        <v>6</v>
      </c>
      <c r="F43" t="s">
        <v>47</v>
      </c>
      <c r="G43">
        <v>1</v>
      </c>
      <c r="H43">
        <v>9</v>
      </c>
    </row>
    <row r="44" spans="1:8" x14ac:dyDescent="0.4">
      <c r="A44" t="s">
        <v>45</v>
      </c>
      <c r="B44" t="s">
        <v>47</v>
      </c>
      <c r="C44">
        <v>8.5</v>
      </c>
      <c r="D44">
        <v>0</v>
      </c>
      <c r="E44">
        <v>0</v>
      </c>
      <c r="F44" t="s">
        <v>45</v>
      </c>
      <c r="G44">
        <v>1</v>
      </c>
      <c r="H44">
        <v>15</v>
      </c>
    </row>
    <row r="45" spans="1:8" x14ac:dyDescent="0.4">
      <c r="A45" t="s">
        <v>45</v>
      </c>
      <c r="B45" t="s">
        <v>47</v>
      </c>
      <c r="C45">
        <v>3</v>
      </c>
      <c r="D45">
        <v>0</v>
      </c>
      <c r="E45">
        <v>8</v>
      </c>
      <c r="F45" t="s">
        <v>45</v>
      </c>
      <c r="G45">
        <v>1</v>
      </c>
      <c r="H45">
        <v>16</v>
      </c>
    </row>
    <row r="46" spans="1:8" x14ac:dyDescent="0.4">
      <c r="A46" t="s">
        <v>45</v>
      </c>
      <c r="B46" t="s">
        <v>47</v>
      </c>
      <c r="C46">
        <v>0</v>
      </c>
      <c r="D46">
        <v>0</v>
      </c>
      <c r="E46">
        <v>4</v>
      </c>
      <c r="F46" t="s">
        <v>47</v>
      </c>
      <c r="G46">
        <v>1</v>
      </c>
      <c r="H46">
        <v>10</v>
      </c>
    </row>
    <row r="47" spans="1:8" x14ac:dyDescent="0.4">
      <c r="A47" t="s">
        <v>47</v>
      </c>
      <c r="B47" t="s">
        <v>47</v>
      </c>
      <c r="C47">
        <v>2.25</v>
      </c>
      <c r="D47">
        <v>0</v>
      </c>
      <c r="E47">
        <v>5</v>
      </c>
      <c r="F47" t="s">
        <v>45</v>
      </c>
      <c r="G47">
        <v>2</v>
      </c>
      <c r="H47">
        <v>11</v>
      </c>
    </row>
    <row r="48" spans="1:8" x14ac:dyDescent="0.4">
      <c r="A48" t="s">
        <v>47</v>
      </c>
      <c r="B48" t="s">
        <v>45</v>
      </c>
      <c r="C48">
        <v>3</v>
      </c>
      <c r="D48">
        <v>0</v>
      </c>
      <c r="E48">
        <v>10</v>
      </c>
      <c r="F48" t="s">
        <v>45</v>
      </c>
      <c r="G48">
        <v>1</v>
      </c>
      <c r="H48">
        <v>10</v>
      </c>
    </row>
    <row r="49" spans="1:8" x14ac:dyDescent="0.4">
      <c r="A49" t="s">
        <v>47</v>
      </c>
      <c r="B49" t="s">
        <v>47</v>
      </c>
      <c r="C49">
        <v>9.75</v>
      </c>
      <c r="D49">
        <v>0</v>
      </c>
      <c r="E49">
        <v>0</v>
      </c>
      <c r="F49" t="s">
        <v>45</v>
      </c>
      <c r="G49">
        <v>1</v>
      </c>
      <c r="H49">
        <v>16</v>
      </c>
    </row>
    <row r="50" spans="1:8" x14ac:dyDescent="0.4">
      <c r="A50" t="s">
        <v>47</v>
      </c>
      <c r="B50" t="s">
        <v>47</v>
      </c>
      <c r="C50">
        <v>2.5</v>
      </c>
      <c r="D50">
        <v>0</v>
      </c>
      <c r="E50">
        <v>2</v>
      </c>
      <c r="F50" t="s">
        <v>45</v>
      </c>
      <c r="G50">
        <v>2</v>
      </c>
      <c r="H50">
        <v>13</v>
      </c>
    </row>
    <row r="51" spans="1:8" x14ac:dyDescent="0.4">
      <c r="A51" t="s">
        <v>47</v>
      </c>
      <c r="B51" t="s">
        <v>45</v>
      </c>
      <c r="C51">
        <v>4</v>
      </c>
      <c r="D51">
        <v>0</v>
      </c>
      <c r="E51">
        <v>0</v>
      </c>
      <c r="F51" t="s">
        <v>45</v>
      </c>
      <c r="G51">
        <v>1</v>
      </c>
      <c r="H51">
        <v>11</v>
      </c>
    </row>
    <row r="52" spans="1:8" x14ac:dyDescent="0.4">
      <c r="A52" t="s">
        <v>47</v>
      </c>
      <c r="B52" t="s">
        <v>47</v>
      </c>
      <c r="C52">
        <v>0.5</v>
      </c>
      <c r="D52">
        <v>0</v>
      </c>
      <c r="E52">
        <v>0</v>
      </c>
      <c r="F52" t="s">
        <v>45</v>
      </c>
      <c r="G52">
        <v>2</v>
      </c>
      <c r="H52">
        <v>17</v>
      </c>
    </row>
    <row r="53" spans="1:8" x14ac:dyDescent="0.4">
      <c r="A53" t="s">
        <v>45</v>
      </c>
      <c r="B53" t="s">
        <v>47</v>
      </c>
      <c r="C53">
        <v>0</v>
      </c>
      <c r="D53">
        <v>0</v>
      </c>
      <c r="E53">
        <v>2</v>
      </c>
      <c r="F53" t="s">
        <v>45</v>
      </c>
      <c r="G53">
        <v>1</v>
      </c>
      <c r="H53">
        <v>17</v>
      </c>
    </row>
    <row r="54" spans="1:8" x14ac:dyDescent="0.4">
      <c r="A54" t="s">
        <v>47</v>
      </c>
      <c r="B54" t="s">
        <v>47</v>
      </c>
      <c r="C54">
        <v>8.25</v>
      </c>
      <c r="D54">
        <v>0</v>
      </c>
      <c r="E54">
        <v>0</v>
      </c>
      <c r="F54" t="s">
        <v>45</v>
      </c>
      <c r="G54">
        <v>2</v>
      </c>
      <c r="H54">
        <v>12</v>
      </c>
    </row>
    <row r="55" spans="1:8" x14ac:dyDescent="0.4">
      <c r="A55" t="s">
        <v>45</v>
      </c>
      <c r="B55" t="s">
        <v>47</v>
      </c>
      <c r="C55">
        <v>0.25</v>
      </c>
      <c r="D55">
        <v>0</v>
      </c>
      <c r="E55">
        <v>8</v>
      </c>
      <c r="F55" t="s">
        <v>45</v>
      </c>
      <c r="G55">
        <v>3</v>
      </c>
      <c r="H55">
        <v>15</v>
      </c>
    </row>
    <row r="56" spans="1:8" x14ac:dyDescent="0.4">
      <c r="A56" t="s">
        <v>47</v>
      </c>
      <c r="B56" t="s">
        <v>47</v>
      </c>
      <c r="C56">
        <v>8.75</v>
      </c>
      <c r="D56">
        <v>0</v>
      </c>
      <c r="E56">
        <v>8</v>
      </c>
      <c r="F56" t="s">
        <v>45</v>
      </c>
      <c r="G56">
        <v>2</v>
      </c>
      <c r="H56">
        <v>14</v>
      </c>
    </row>
    <row r="57" spans="1:8" x14ac:dyDescent="0.4">
      <c r="A57" t="s">
        <v>45</v>
      </c>
      <c r="B57" t="s">
        <v>47</v>
      </c>
      <c r="C57">
        <v>0.75</v>
      </c>
      <c r="D57">
        <v>0</v>
      </c>
      <c r="E57">
        <v>0</v>
      </c>
      <c r="F57" t="s">
        <v>45</v>
      </c>
      <c r="G57">
        <v>1</v>
      </c>
      <c r="H57">
        <v>10</v>
      </c>
    </row>
    <row r="58" spans="1:8" x14ac:dyDescent="0.4">
      <c r="A58" t="s">
        <v>47</v>
      </c>
      <c r="B58" t="s">
        <v>47</v>
      </c>
      <c r="C58">
        <v>3</v>
      </c>
      <c r="D58">
        <v>0</v>
      </c>
      <c r="E58">
        <v>8</v>
      </c>
      <c r="F58" t="s">
        <v>45</v>
      </c>
      <c r="G58">
        <v>2</v>
      </c>
      <c r="H58">
        <v>10</v>
      </c>
    </row>
    <row r="59" spans="1:8" x14ac:dyDescent="0.4">
      <c r="A59" t="s">
        <v>47</v>
      </c>
      <c r="B59" t="s">
        <v>47</v>
      </c>
      <c r="C59">
        <v>0</v>
      </c>
      <c r="D59">
        <v>0</v>
      </c>
      <c r="E59">
        <v>2</v>
      </c>
      <c r="F59" t="s">
        <v>45</v>
      </c>
      <c r="G59">
        <v>2</v>
      </c>
      <c r="H59">
        <v>13</v>
      </c>
    </row>
    <row r="60" spans="1:8" x14ac:dyDescent="0.4">
      <c r="A60" t="s">
        <v>45</v>
      </c>
      <c r="B60" t="s">
        <v>45</v>
      </c>
      <c r="C60">
        <v>5.75</v>
      </c>
      <c r="D60">
        <v>0</v>
      </c>
      <c r="E60">
        <v>2</v>
      </c>
      <c r="F60" t="s">
        <v>45</v>
      </c>
      <c r="G60">
        <v>1</v>
      </c>
      <c r="H60">
        <v>10</v>
      </c>
    </row>
    <row r="61" spans="1:8" x14ac:dyDescent="0.4">
      <c r="A61" t="s">
        <v>45</v>
      </c>
      <c r="B61" t="s">
        <v>45</v>
      </c>
      <c r="C61">
        <v>2.5</v>
      </c>
      <c r="D61">
        <v>0</v>
      </c>
      <c r="E61">
        <v>0</v>
      </c>
      <c r="F61" t="s">
        <v>45</v>
      </c>
      <c r="G61">
        <v>2</v>
      </c>
      <c r="H61">
        <v>13</v>
      </c>
    </row>
    <row r="62" spans="1:8" x14ac:dyDescent="0.4">
      <c r="A62" t="s">
        <v>45</v>
      </c>
      <c r="B62" t="s">
        <v>47</v>
      </c>
      <c r="C62">
        <v>0.5</v>
      </c>
      <c r="D62">
        <v>0</v>
      </c>
      <c r="E62">
        <v>4</v>
      </c>
      <c r="F62" t="s">
        <v>45</v>
      </c>
      <c r="G62">
        <v>2</v>
      </c>
      <c r="H62">
        <v>11</v>
      </c>
    </row>
    <row r="63" spans="1:8" x14ac:dyDescent="0.4">
      <c r="A63" t="s">
        <v>45</v>
      </c>
      <c r="B63" t="s">
        <v>47</v>
      </c>
      <c r="C63">
        <v>0.5</v>
      </c>
      <c r="D63">
        <v>0</v>
      </c>
      <c r="E63">
        <v>0</v>
      </c>
      <c r="F63" t="s">
        <v>45</v>
      </c>
      <c r="G63">
        <v>1</v>
      </c>
      <c r="H63">
        <v>11</v>
      </c>
    </row>
    <row r="64" spans="1:8" x14ac:dyDescent="0.4">
      <c r="A64" t="s">
        <v>45</v>
      </c>
      <c r="B64" t="s">
        <v>47</v>
      </c>
      <c r="C64">
        <v>3.5</v>
      </c>
      <c r="D64">
        <v>0</v>
      </c>
      <c r="E64">
        <v>0</v>
      </c>
      <c r="F64" t="s">
        <v>45</v>
      </c>
      <c r="G64">
        <v>1</v>
      </c>
      <c r="H64">
        <v>12</v>
      </c>
    </row>
    <row r="65" spans="1:8" x14ac:dyDescent="0.4">
      <c r="A65" t="s">
        <v>47</v>
      </c>
      <c r="B65" t="s">
        <v>47</v>
      </c>
      <c r="C65">
        <v>4.25</v>
      </c>
      <c r="D65">
        <v>0</v>
      </c>
      <c r="E65">
        <v>0</v>
      </c>
      <c r="F65" t="s">
        <v>45</v>
      </c>
      <c r="G65">
        <v>1</v>
      </c>
      <c r="H65">
        <v>10</v>
      </c>
    </row>
    <row r="66" spans="1:8" x14ac:dyDescent="0.4">
      <c r="A66" t="s">
        <v>45</v>
      </c>
      <c r="B66" t="s">
        <v>47</v>
      </c>
      <c r="C66">
        <v>2.25</v>
      </c>
      <c r="D66">
        <v>0</v>
      </c>
      <c r="E66">
        <v>0</v>
      </c>
      <c r="F66" t="s">
        <v>45</v>
      </c>
      <c r="G66">
        <v>1</v>
      </c>
      <c r="H66">
        <v>16</v>
      </c>
    </row>
    <row r="67" spans="1:8" x14ac:dyDescent="0.4">
      <c r="A67" t="s">
        <v>47</v>
      </c>
      <c r="B67" t="s">
        <v>47</v>
      </c>
      <c r="C67">
        <v>1</v>
      </c>
      <c r="D67">
        <v>0</v>
      </c>
      <c r="E67">
        <v>0</v>
      </c>
      <c r="F67" t="s">
        <v>45</v>
      </c>
      <c r="G67">
        <v>1</v>
      </c>
      <c r="H67">
        <v>10</v>
      </c>
    </row>
    <row r="68" spans="1:8" x14ac:dyDescent="0.4">
      <c r="A68" t="s">
        <v>47</v>
      </c>
      <c r="B68" t="s">
        <v>47</v>
      </c>
      <c r="C68">
        <v>1.25</v>
      </c>
      <c r="D68">
        <v>0</v>
      </c>
      <c r="E68">
        <v>2</v>
      </c>
      <c r="F68" t="s">
        <v>45</v>
      </c>
      <c r="G68">
        <v>2</v>
      </c>
      <c r="H68">
        <v>10</v>
      </c>
    </row>
    <row r="69" spans="1:8" x14ac:dyDescent="0.4">
      <c r="A69" t="s">
        <v>45</v>
      </c>
      <c r="B69" t="s">
        <v>47</v>
      </c>
      <c r="C69">
        <v>1.5</v>
      </c>
      <c r="D69">
        <v>0</v>
      </c>
      <c r="E69">
        <v>8</v>
      </c>
      <c r="F69" t="s">
        <v>45</v>
      </c>
      <c r="G69">
        <v>3</v>
      </c>
      <c r="H69">
        <v>11</v>
      </c>
    </row>
    <row r="70" spans="1:8" x14ac:dyDescent="0.4">
      <c r="A70" t="s">
        <v>45</v>
      </c>
      <c r="B70" t="s">
        <v>47</v>
      </c>
      <c r="C70">
        <v>11</v>
      </c>
      <c r="D70">
        <v>0</v>
      </c>
      <c r="E70">
        <v>10</v>
      </c>
      <c r="F70" t="s">
        <v>45</v>
      </c>
      <c r="G70">
        <v>2</v>
      </c>
      <c r="H70">
        <v>16</v>
      </c>
    </row>
    <row r="71" spans="1:8" x14ac:dyDescent="0.4">
      <c r="A71" t="s">
        <v>45</v>
      </c>
      <c r="B71" t="s">
        <v>47</v>
      </c>
      <c r="C71">
        <v>0.25</v>
      </c>
      <c r="D71">
        <v>1</v>
      </c>
      <c r="E71">
        <v>0</v>
      </c>
      <c r="F71" t="s">
        <v>45</v>
      </c>
      <c r="G71">
        <v>2</v>
      </c>
      <c r="H71">
        <v>0</v>
      </c>
    </row>
    <row r="72" spans="1:8" x14ac:dyDescent="0.4">
      <c r="A72" t="s">
        <v>47</v>
      </c>
      <c r="B72" t="s">
        <v>47</v>
      </c>
      <c r="C72">
        <v>3.25</v>
      </c>
      <c r="D72">
        <v>3</v>
      </c>
      <c r="E72">
        <v>9</v>
      </c>
      <c r="F72" t="s">
        <v>45</v>
      </c>
      <c r="G72">
        <v>5</v>
      </c>
      <c r="H72">
        <v>10</v>
      </c>
    </row>
    <row r="73" spans="1:8" x14ac:dyDescent="0.4">
      <c r="A73" t="s">
        <v>45</v>
      </c>
      <c r="B73" t="s">
        <v>47</v>
      </c>
      <c r="C73">
        <v>4.25</v>
      </c>
      <c r="D73">
        <v>0</v>
      </c>
      <c r="E73">
        <v>10</v>
      </c>
      <c r="F73" t="s">
        <v>45</v>
      </c>
      <c r="G73">
        <v>2</v>
      </c>
      <c r="H73">
        <v>15</v>
      </c>
    </row>
    <row r="74" spans="1:8" x14ac:dyDescent="0.4">
      <c r="A74" t="s">
        <v>45</v>
      </c>
      <c r="B74" t="s">
        <v>47</v>
      </c>
      <c r="C74">
        <v>3.25</v>
      </c>
      <c r="D74">
        <v>0</v>
      </c>
      <c r="E74">
        <v>8</v>
      </c>
      <c r="F74" t="s">
        <v>45</v>
      </c>
      <c r="G74">
        <v>1</v>
      </c>
      <c r="H74">
        <v>16</v>
      </c>
    </row>
    <row r="75" spans="1:8" x14ac:dyDescent="0.4">
      <c r="A75" t="s">
        <v>47</v>
      </c>
      <c r="B75" t="s">
        <v>47</v>
      </c>
      <c r="C75">
        <v>2.25</v>
      </c>
      <c r="D75">
        <v>0</v>
      </c>
      <c r="E75">
        <v>0</v>
      </c>
      <c r="F75" t="s">
        <v>45</v>
      </c>
      <c r="G75">
        <v>1</v>
      </c>
      <c r="H75">
        <v>12</v>
      </c>
    </row>
    <row r="76" spans="1:8" x14ac:dyDescent="0.4">
      <c r="A76" t="s">
        <v>45</v>
      </c>
      <c r="B76" t="s">
        <v>45</v>
      </c>
      <c r="C76">
        <v>2</v>
      </c>
      <c r="D76">
        <v>0</v>
      </c>
      <c r="E76">
        <v>4</v>
      </c>
      <c r="F76" t="s">
        <v>45</v>
      </c>
      <c r="G76">
        <v>1</v>
      </c>
      <c r="H76">
        <v>11</v>
      </c>
    </row>
    <row r="77" spans="1:8" x14ac:dyDescent="0.4">
      <c r="A77" t="s">
        <v>45</v>
      </c>
      <c r="B77" t="s">
        <v>47</v>
      </c>
      <c r="C77">
        <v>1.5</v>
      </c>
      <c r="D77">
        <v>0</v>
      </c>
      <c r="E77">
        <v>11</v>
      </c>
      <c r="F77" t="s">
        <v>45</v>
      </c>
      <c r="G77">
        <v>1</v>
      </c>
      <c r="H77">
        <v>12</v>
      </c>
    </row>
    <row r="78" spans="1:8" x14ac:dyDescent="0.4">
      <c r="A78" t="s">
        <v>45</v>
      </c>
      <c r="B78" t="s">
        <v>45</v>
      </c>
      <c r="C78">
        <v>5.5</v>
      </c>
      <c r="D78">
        <v>0</v>
      </c>
      <c r="E78">
        <v>2</v>
      </c>
      <c r="F78" t="s">
        <v>45</v>
      </c>
      <c r="G78">
        <v>1</v>
      </c>
      <c r="H78">
        <v>12</v>
      </c>
    </row>
    <row r="79" spans="1:8" x14ac:dyDescent="0.4">
      <c r="A79" t="s">
        <v>47</v>
      </c>
      <c r="B79" t="s">
        <v>47</v>
      </c>
      <c r="C79">
        <v>3.25</v>
      </c>
      <c r="D79">
        <v>0</v>
      </c>
      <c r="E79">
        <v>15</v>
      </c>
      <c r="F79" t="s">
        <v>45</v>
      </c>
      <c r="G79">
        <v>4</v>
      </c>
      <c r="H79">
        <v>12</v>
      </c>
    </row>
    <row r="80" spans="1:8" x14ac:dyDescent="0.4">
      <c r="A80" t="s">
        <v>45</v>
      </c>
      <c r="B80" t="s">
        <v>47</v>
      </c>
      <c r="C80">
        <v>4.75</v>
      </c>
      <c r="D80">
        <v>0</v>
      </c>
      <c r="E80">
        <v>0</v>
      </c>
      <c r="F80" t="s">
        <v>45</v>
      </c>
      <c r="G80">
        <v>1</v>
      </c>
      <c r="H80">
        <v>15</v>
      </c>
    </row>
    <row r="81" spans="1:8" x14ac:dyDescent="0.4">
      <c r="A81" t="s">
        <v>45</v>
      </c>
      <c r="B81" t="s">
        <v>47</v>
      </c>
      <c r="C81">
        <v>0.5</v>
      </c>
      <c r="D81">
        <v>0</v>
      </c>
      <c r="E81">
        <v>2</v>
      </c>
      <c r="F81" t="s">
        <v>45</v>
      </c>
      <c r="G81">
        <v>3</v>
      </c>
      <c r="H81">
        <v>12</v>
      </c>
    </row>
    <row r="82" spans="1:8" x14ac:dyDescent="0.4">
      <c r="A82" t="s">
        <v>47</v>
      </c>
      <c r="B82" t="s">
        <v>45</v>
      </c>
      <c r="C82">
        <v>2.75</v>
      </c>
      <c r="D82">
        <v>3</v>
      </c>
      <c r="E82">
        <v>0</v>
      </c>
      <c r="F82" t="s">
        <v>45</v>
      </c>
      <c r="G82">
        <v>1</v>
      </c>
      <c r="H82">
        <v>8</v>
      </c>
    </row>
    <row r="83" spans="1:8" x14ac:dyDescent="0.4">
      <c r="A83" t="s">
        <v>45</v>
      </c>
      <c r="B83" t="s">
        <v>47</v>
      </c>
      <c r="C83">
        <v>5.75</v>
      </c>
      <c r="D83">
        <v>0</v>
      </c>
      <c r="E83">
        <v>10</v>
      </c>
      <c r="F83" t="s">
        <v>45</v>
      </c>
      <c r="G83">
        <v>4</v>
      </c>
      <c r="H83">
        <v>11</v>
      </c>
    </row>
    <row r="84" spans="1:8" x14ac:dyDescent="0.4">
      <c r="A84" t="s">
        <v>47</v>
      </c>
      <c r="B84" t="s">
        <v>47</v>
      </c>
      <c r="C84">
        <v>1.25</v>
      </c>
      <c r="D84">
        <v>0</v>
      </c>
      <c r="E84">
        <v>4</v>
      </c>
      <c r="F84" t="s">
        <v>45</v>
      </c>
      <c r="G84">
        <v>1</v>
      </c>
      <c r="H84">
        <v>11</v>
      </c>
    </row>
    <row r="85" spans="1:8" x14ac:dyDescent="0.4">
      <c r="A85" t="s">
        <v>45</v>
      </c>
      <c r="B85" t="s">
        <v>47</v>
      </c>
      <c r="C85">
        <v>3.75</v>
      </c>
      <c r="D85">
        <v>0</v>
      </c>
      <c r="E85">
        <v>0</v>
      </c>
      <c r="F85" t="s">
        <v>45</v>
      </c>
      <c r="G85">
        <v>5</v>
      </c>
      <c r="H85">
        <v>16</v>
      </c>
    </row>
    <row r="86" spans="1:8" x14ac:dyDescent="0.4">
      <c r="A86" t="s">
        <v>47</v>
      </c>
      <c r="B86" t="s">
        <v>47</v>
      </c>
      <c r="C86">
        <v>2.5</v>
      </c>
      <c r="D86">
        <v>0</v>
      </c>
      <c r="E86">
        <v>0</v>
      </c>
      <c r="F86" t="s">
        <v>45</v>
      </c>
      <c r="G86">
        <v>1</v>
      </c>
      <c r="H86">
        <v>12</v>
      </c>
    </row>
    <row r="87" spans="1:8" x14ac:dyDescent="0.4">
      <c r="A87" t="s">
        <v>45</v>
      </c>
      <c r="B87" t="s">
        <v>47</v>
      </c>
      <c r="C87">
        <v>3.5</v>
      </c>
      <c r="D87">
        <v>0</v>
      </c>
      <c r="E87">
        <v>2</v>
      </c>
      <c r="F87" t="s">
        <v>45</v>
      </c>
      <c r="G87">
        <v>1</v>
      </c>
      <c r="H87">
        <v>13</v>
      </c>
    </row>
    <row r="88" spans="1:8" x14ac:dyDescent="0.4">
      <c r="A88" t="s">
        <v>45</v>
      </c>
      <c r="B88" t="s">
        <v>47</v>
      </c>
      <c r="C88">
        <v>9.75</v>
      </c>
      <c r="D88">
        <v>0</v>
      </c>
      <c r="E88">
        <v>0</v>
      </c>
      <c r="F88" t="s">
        <v>45</v>
      </c>
      <c r="G88">
        <v>2</v>
      </c>
      <c r="H88">
        <v>13</v>
      </c>
    </row>
    <row r="89" spans="1:8" x14ac:dyDescent="0.4">
      <c r="A89" t="s">
        <v>45</v>
      </c>
      <c r="B89" t="s">
        <v>47</v>
      </c>
      <c r="C89">
        <v>0.25</v>
      </c>
      <c r="D89">
        <v>3</v>
      </c>
      <c r="E89">
        <v>4</v>
      </c>
      <c r="F89" t="s">
        <v>47</v>
      </c>
      <c r="G89">
        <v>2</v>
      </c>
      <c r="H89">
        <v>9</v>
      </c>
    </row>
    <row r="90" spans="1:8" x14ac:dyDescent="0.4">
      <c r="A90" t="s">
        <v>47</v>
      </c>
      <c r="B90" t="s">
        <v>47</v>
      </c>
      <c r="C90">
        <v>3.75</v>
      </c>
      <c r="D90">
        <v>2</v>
      </c>
      <c r="E90">
        <v>2</v>
      </c>
      <c r="F90" t="s">
        <v>45</v>
      </c>
      <c r="G90">
        <v>1</v>
      </c>
      <c r="H90">
        <v>8</v>
      </c>
    </row>
    <row r="91" spans="1:8" x14ac:dyDescent="0.4">
      <c r="A91" t="s">
        <v>45</v>
      </c>
      <c r="B91" t="s">
        <v>47</v>
      </c>
      <c r="C91">
        <v>1.5</v>
      </c>
      <c r="D91">
        <v>0</v>
      </c>
      <c r="E91">
        <v>0</v>
      </c>
      <c r="F91" t="s">
        <v>45</v>
      </c>
      <c r="G91">
        <v>2</v>
      </c>
      <c r="H91">
        <v>10</v>
      </c>
    </row>
    <row r="92" spans="1:8" x14ac:dyDescent="0.4">
      <c r="A92" t="s">
        <v>45</v>
      </c>
      <c r="B92" t="s">
        <v>47</v>
      </c>
      <c r="C92">
        <v>14.25</v>
      </c>
      <c r="D92">
        <v>0</v>
      </c>
      <c r="E92">
        <v>6</v>
      </c>
      <c r="F92" t="s">
        <v>45</v>
      </c>
      <c r="G92">
        <v>1</v>
      </c>
      <c r="H92">
        <v>13</v>
      </c>
    </row>
    <row r="93" spans="1:8" x14ac:dyDescent="0.4">
      <c r="A93" t="s">
        <v>47</v>
      </c>
      <c r="B93" t="s">
        <v>47</v>
      </c>
      <c r="C93">
        <v>2.25</v>
      </c>
      <c r="D93">
        <v>0</v>
      </c>
      <c r="E93">
        <v>10</v>
      </c>
      <c r="F93" t="s">
        <v>45</v>
      </c>
      <c r="G93">
        <v>3</v>
      </c>
      <c r="H93">
        <v>10</v>
      </c>
    </row>
    <row r="94" spans="1:8" x14ac:dyDescent="0.4">
      <c r="A94" t="s">
        <v>47</v>
      </c>
      <c r="B94" t="s">
        <v>47</v>
      </c>
      <c r="C94">
        <v>3.75</v>
      </c>
      <c r="D94">
        <v>0</v>
      </c>
      <c r="E94">
        <v>0</v>
      </c>
      <c r="F94" t="s">
        <v>45</v>
      </c>
      <c r="G94">
        <v>1</v>
      </c>
      <c r="H94">
        <v>13</v>
      </c>
    </row>
    <row r="95" spans="1:8" x14ac:dyDescent="0.4">
      <c r="A95" t="s">
        <v>47</v>
      </c>
      <c r="B95" t="s">
        <v>47</v>
      </c>
      <c r="C95">
        <v>4.25</v>
      </c>
      <c r="D95">
        <v>0</v>
      </c>
      <c r="E95">
        <v>0</v>
      </c>
      <c r="F95" t="s">
        <v>45</v>
      </c>
      <c r="G95">
        <v>2</v>
      </c>
      <c r="H95">
        <v>16</v>
      </c>
    </row>
    <row r="96" spans="1:8" x14ac:dyDescent="0.4">
      <c r="A96" t="s">
        <v>47</v>
      </c>
      <c r="B96" t="s">
        <v>47</v>
      </c>
      <c r="C96">
        <v>4</v>
      </c>
      <c r="D96">
        <v>0</v>
      </c>
      <c r="E96">
        <v>6</v>
      </c>
      <c r="F96" t="s">
        <v>45</v>
      </c>
      <c r="G96">
        <v>2</v>
      </c>
      <c r="H96">
        <v>13</v>
      </c>
    </row>
    <row r="97" spans="1:8" x14ac:dyDescent="0.4">
      <c r="A97" t="s">
        <v>47</v>
      </c>
      <c r="B97" t="s">
        <v>47</v>
      </c>
      <c r="C97">
        <v>7.5</v>
      </c>
      <c r="D97">
        <v>0</v>
      </c>
      <c r="E97">
        <v>0</v>
      </c>
      <c r="F97" t="s">
        <v>45</v>
      </c>
      <c r="G97">
        <v>2</v>
      </c>
      <c r="H97">
        <v>17</v>
      </c>
    </row>
    <row r="98" spans="1:8" x14ac:dyDescent="0.4">
      <c r="A98" t="s">
        <v>47</v>
      </c>
      <c r="B98" t="s">
        <v>47</v>
      </c>
      <c r="C98">
        <v>0.75</v>
      </c>
      <c r="D98">
        <v>0</v>
      </c>
      <c r="E98">
        <v>0</v>
      </c>
      <c r="F98" t="s">
        <v>45</v>
      </c>
      <c r="G98">
        <v>1</v>
      </c>
      <c r="H98">
        <v>10</v>
      </c>
    </row>
    <row r="99" spans="1:8" x14ac:dyDescent="0.4">
      <c r="A99" t="s">
        <v>47</v>
      </c>
      <c r="B99" t="s">
        <v>47</v>
      </c>
      <c r="C99">
        <v>9</v>
      </c>
      <c r="D99">
        <v>0</v>
      </c>
      <c r="E99">
        <v>0</v>
      </c>
      <c r="F99" t="s">
        <v>45</v>
      </c>
      <c r="G99">
        <v>2</v>
      </c>
      <c r="H99">
        <v>13</v>
      </c>
    </row>
    <row r="100" spans="1:8" x14ac:dyDescent="0.4">
      <c r="A100" t="s">
        <v>45</v>
      </c>
      <c r="B100" t="s">
        <v>47</v>
      </c>
      <c r="C100">
        <v>0.25</v>
      </c>
      <c r="D100">
        <v>1</v>
      </c>
      <c r="E100">
        <v>0</v>
      </c>
      <c r="F100" t="s">
        <v>47</v>
      </c>
      <c r="G100">
        <v>3</v>
      </c>
      <c r="H100">
        <v>10</v>
      </c>
    </row>
    <row r="101" spans="1:8" x14ac:dyDescent="0.4">
      <c r="A101" t="s">
        <v>47</v>
      </c>
      <c r="B101" t="s">
        <v>47</v>
      </c>
      <c r="C101">
        <v>2.25</v>
      </c>
      <c r="D101">
        <v>0</v>
      </c>
      <c r="E101">
        <v>12</v>
      </c>
      <c r="F101" t="s">
        <v>47</v>
      </c>
      <c r="G101">
        <v>1</v>
      </c>
      <c r="H101">
        <v>10</v>
      </c>
    </row>
    <row r="102" spans="1:8" x14ac:dyDescent="0.4">
      <c r="A102" t="s">
        <v>45</v>
      </c>
      <c r="B102" t="s">
        <v>47</v>
      </c>
      <c r="C102">
        <v>3</v>
      </c>
      <c r="D102">
        <v>0</v>
      </c>
      <c r="E102">
        <v>2</v>
      </c>
      <c r="F102" t="s">
        <v>45</v>
      </c>
      <c r="G102">
        <v>2</v>
      </c>
      <c r="H102">
        <v>17</v>
      </c>
    </row>
    <row r="103" spans="1:8" x14ac:dyDescent="0.4">
      <c r="A103" t="s">
        <v>47</v>
      </c>
      <c r="B103" t="s">
        <v>47</v>
      </c>
      <c r="C103">
        <v>6.25</v>
      </c>
      <c r="D103">
        <v>0</v>
      </c>
      <c r="E103">
        <v>4</v>
      </c>
      <c r="F103" t="s">
        <v>45</v>
      </c>
      <c r="G103">
        <v>1</v>
      </c>
      <c r="H103">
        <v>17</v>
      </c>
    </row>
    <row r="104" spans="1:8" x14ac:dyDescent="0.4">
      <c r="A104" t="s">
        <v>45</v>
      </c>
      <c r="B104" t="s">
        <v>45</v>
      </c>
      <c r="C104">
        <v>0</v>
      </c>
      <c r="D104">
        <v>0</v>
      </c>
      <c r="E104">
        <v>8</v>
      </c>
      <c r="F104" t="s">
        <v>45</v>
      </c>
      <c r="G104">
        <v>1</v>
      </c>
      <c r="H104">
        <v>12</v>
      </c>
    </row>
    <row r="105" spans="1:8" x14ac:dyDescent="0.4">
      <c r="A105" t="s">
        <v>47</v>
      </c>
      <c r="B105" t="s">
        <v>47</v>
      </c>
      <c r="C105">
        <v>1.25</v>
      </c>
      <c r="D105">
        <v>0</v>
      </c>
      <c r="E105">
        <v>2</v>
      </c>
      <c r="F105" t="s">
        <v>45</v>
      </c>
      <c r="G105">
        <v>2</v>
      </c>
      <c r="H105">
        <v>12</v>
      </c>
    </row>
    <row r="106" spans="1:8" x14ac:dyDescent="0.4">
      <c r="A106" t="s">
        <v>47</v>
      </c>
      <c r="B106" t="s">
        <v>47</v>
      </c>
      <c r="C106">
        <v>1</v>
      </c>
      <c r="D106">
        <v>0</v>
      </c>
      <c r="E106">
        <v>8</v>
      </c>
      <c r="F106" t="s">
        <v>45</v>
      </c>
      <c r="G106">
        <v>2</v>
      </c>
      <c r="H106">
        <v>15</v>
      </c>
    </row>
    <row r="107" spans="1:8" x14ac:dyDescent="0.4">
      <c r="A107" t="s">
        <v>47</v>
      </c>
      <c r="B107" t="s">
        <v>47</v>
      </c>
      <c r="C107">
        <v>0.5</v>
      </c>
      <c r="D107">
        <v>0</v>
      </c>
      <c r="E107">
        <v>4</v>
      </c>
      <c r="F107" t="s">
        <v>45</v>
      </c>
      <c r="G107">
        <v>3</v>
      </c>
      <c r="H107">
        <v>11</v>
      </c>
    </row>
    <row r="108" spans="1:8" x14ac:dyDescent="0.4">
      <c r="A108" t="s">
        <v>45</v>
      </c>
      <c r="B108" t="s">
        <v>45</v>
      </c>
      <c r="C108">
        <v>0.5</v>
      </c>
      <c r="D108">
        <v>0</v>
      </c>
      <c r="E108">
        <v>0</v>
      </c>
      <c r="F108" t="s">
        <v>45</v>
      </c>
      <c r="G108">
        <v>2</v>
      </c>
      <c r="H108">
        <v>12</v>
      </c>
    </row>
    <row r="109" spans="1:8" x14ac:dyDescent="0.4">
      <c r="A109" t="s">
        <v>45</v>
      </c>
      <c r="B109" t="s">
        <v>47</v>
      </c>
      <c r="C109">
        <v>8.75</v>
      </c>
      <c r="D109">
        <v>0</v>
      </c>
      <c r="E109">
        <v>0</v>
      </c>
      <c r="F109" t="s">
        <v>45</v>
      </c>
      <c r="G109">
        <v>1</v>
      </c>
      <c r="H109">
        <v>14</v>
      </c>
    </row>
    <row r="110" spans="1:8" x14ac:dyDescent="0.4">
      <c r="A110" t="s">
        <v>47</v>
      </c>
      <c r="B110" t="s">
        <v>47</v>
      </c>
      <c r="C110">
        <v>1</v>
      </c>
      <c r="D110">
        <v>1</v>
      </c>
      <c r="E110">
        <v>0</v>
      </c>
      <c r="F110" t="s">
        <v>45</v>
      </c>
      <c r="G110">
        <v>1</v>
      </c>
      <c r="H110">
        <v>9</v>
      </c>
    </row>
    <row r="111" spans="1:8" x14ac:dyDescent="0.4">
      <c r="A111" t="s">
        <v>47</v>
      </c>
      <c r="B111" t="s">
        <v>47</v>
      </c>
      <c r="C111">
        <v>0.75</v>
      </c>
      <c r="D111">
        <v>0</v>
      </c>
      <c r="E111">
        <v>0</v>
      </c>
      <c r="F111" t="s">
        <v>45</v>
      </c>
      <c r="G111">
        <v>1</v>
      </c>
      <c r="H111">
        <v>12</v>
      </c>
    </row>
    <row r="112" spans="1:8" x14ac:dyDescent="0.4">
      <c r="A112" t="s">
        <v>45</v>
      </c>
      <c r="B112" t="s">
        <v>47</v>
      </c>
      <c r="C112">
        <v>4</v>
      </c>
      <c r="D112">
        <v>0</v>
      </c>
      <c r="E112">
        <v>0</v>
      </c>
      <c r="F112" t="s">
        <v>45</v>
      </c>
      <c r="G112">
        <v>1</v>
      </c>
      <c r="H112">
        <v>12</v>
      </c>
    </row>
    <row r="113" spans="1:8" x14ac:dyDescent="0.4">
      <c r="A113" t="s">
        <v>47</v>
      </c>
      <c r="B113" t="s">
        <v>47</v>
      </c>
      <c r="C113">
        <v>10</v>
      </c>
      <c r="D113">
        <v>0</v>
      </c>
      <c r="E113">
        <v>0</v>
      </c>
      <c r="F113" t="s">
        <v>45</v>
      </c>
      <c r="G113">
        <v>1</v>
      </c>
      <c r="H113">
        <v>17</v>
      </c>
    </row>
    <row r="114" spans="1:8" x14ac:dyDescent="0.4">
      <c r="A114" t="s">
        <v>47</v>
      </c>
      <c r="B114" t="s">
        <v>47</v>
      </c>
      <c r="C114">
        <v>6</v>
      </c>
      <c r="D114">
        <v>1</v>
      </c>
      <c r="E114">
        <v>14</v>
      </c>
      <c r="F114" t="s">
        <v>45</v>
      </c>
      <c r="G114">
        <v>3</v>
      </c>
      <c r="H114">
        <v>8</v>
      </c>
    </row>
    <row r="115" spans="1:8" x14ac:dyDescent="0.4">
      <c r="A115" t="s">
        <v>45</v>
      </c>
      <c r="B115" t="s">
        <v>47</v>
      </c>
      <c r="C115">
        <v>3.25</v>
      </c>
      <c r="D115">
        <v>0</v>
      </c>
      <c r="E115">
        <v>16</v>
      </c>
      <c r="F115" t="s">
        <v>45</v>
      </c>
      <c r="G115">
        <v>3</v>
      </c>
      <c r="H115">
        <v>12</v>
      </c>
    </row>
    <row r="116" spans="1:8" x14ac:dyDescent="0.4">
      <c r="A116" t="s">
        <v>45</v>
      </c>
      <c r="B116" t="s">
        <v>45</v>
      </c>
      <c r="C116">
        <v>0.25</v>
      </c>
      <c r="D116">
        <v>0</v>
      </c>
      <c r="E116">
        <v>6</v>
      </c>
      <c r="F116" t="s">
        <v>45</v>
      </c>
      <c r="G116">
        <v>1</v>
      </c>
      <c r="H116">
        <v>11</v>
      </c>
    </row>
    <row r="117" spans="1:8" x14ac:dyDescent="0.4">
      <c r="A117" t="s">
        <v>45</v>
      </c>
      <c r="B117" t="s">
        <v>47</v>
      </c>
      <c r="C117">
        <v>1.75</v>
      </c>
      <c r="D117">
        <v>1</v>
      </c>
      <c r="E117">
        <v>4</v>
      </c>
      <c r="F117" t="s">
        <v>45</v>
      </c>
      <c r="G117">
        <v>3</v>
      </c>
      <c r="H117">
        <v>10</v>
      </c>
    </row>
    <row r="118" spans="1:8" x14ac:dyDescent="0.4">
      <c r="A118" t="s">
        <v>47</v>
      </c>
      <c r="B118" t="s">
        <v>47</v>
      </c>
      <c r="C118">
        <v>5.5</v>
      </c>
      <c r="D118">
        <v>0</v>
      </c>
      <c r="E118">
        <v>0</v>
      </c>
      <c r="F118" t="s">
        <v>45</v>
      </c>
      <c r="G118">
        <v>1</v>
      </c>
      <c r="H118">
        <v>18</v>
      </c>
    </row>
    <row r="119" spans="1:8" x14ac:dyDescent="0.4">
      <c r="A119" t="s">
        <v>45</v>
      </c>
      <c r="B119" t="s">
        <v>47</v>
      </c>
      <c r="C119">
        <v>2.75</v>
      </c>
      <c r="D119">
        <v>0</v>
      </c>
      <c r="E119">
        <v>0</v>
      </c>
      <c r="F119" t="s">
        <v>45</v>
      </c>
      <c r="G119">
        <v>3</v>
      </c>
      <c r="H119">
        <v>14</v>
      </c>
    </row>
    <row r="120" spans="1:8" x14ac:dyDescent="0.4">
      <c r="A120" t="s">
        <v>47</v>
      </c>
      <c r="B120" t="s">
        <v>47</v>
      </c>
      <c r="C120">
        <v>0.75</v>
      </c>
      <c r="D120">
        <v>0</v>
      </c>
      <c r="E120">
        <v>6</v>
      </c>
      <c r="F120" t="s">
        <v>45</v>
      </c>
      <c r="G120">
        <v>2</v>
      </c>
      <c r="H120">
        <v>12</v>
      </c>
    </row>
    <row r="121" spans="1:8" x14ac:dyDescent="0.4">
      <c r="A121" t="s">
        <v>47</v>
      </c>
      <c r="B121" t="s">
        <v>47</v>
      </c>
      <c r="C121">
        <v>3.5</v>
      </c>
      <c r="D121">
        <v>1</v>
      </c>
      <c r="E121">
        <v>2</v>
      </c>
      <c r="F121" t="s">
        <v>45</v>
      </c>
      <c r="G121">
        <v>1</v>
      </c>
      <c r="H121">
        <v>11</v>
      </c>
    </row>
    <row r="122" spans="1:8" x14ac:dyDescent="0.4">
      <c r="A122" t="s">
        <v>45</v>
      </c>
      <c r="B122" t="s">
        <v>47</v>
      </c>
      <c r="C122">
        <v>7.5</v>
      </c>
      <c r="D122">
        <v>0</v>
      </c>
      <c r="E122">
        <v>6</v>
      </c>
      <c r="F122" t="s">
        <v>45</v>
      </c>
      <c r="G122">
        <v>1</v>
      </c>
      <c r="H122">
        <v>17</v>
      </c>
    </row>
    <row r="123" spans="1:8" x14ac:dyDescent="0.4">
      <c r="A123" t="s">
        <v>47</v>
      </c>
      <c r="B123" t="s">
        <v>47</v>
      </c>
      <c r="C123">
        <v>1.25</v>
      </c>
      <c r="D123">
        <v>0</v>
      </c>
      <c r="E123">
        <v>8</v>
      </c>
      <c r="F123" t="s">
        <v>47</v>
      </c>
      <c r="G123">
        <v>3</v>
      </c>
      <c r="H123">
        <v>7</v>
      </c>
    </row>
    <row r="124" spans="1:8" x14ac:dyDescent="0.4">
      <c r="A124" t="s">
        <v>45</v>
      </c>
      <c r="B124" t="s">
        <v>47</v>
      </c>
      <c r="C124">
        <v>2.5</v>
      </c>
      <c r="D124">
        <v>0</v>
      </c>
      <c r="E124">
        <v>0</v>
      </c>
      <c r="F124" t="s">
        <v>47</v>
      </c>
      <c r="G124">
        <v>2</v>
      </c>
      <c r="H124">
        <v>9</v>
      </c>
    </row>
    <row r="125" spans="1:8" x14ac:dyDescent="0.4">
      <c r="A125" t="s">
        <v>45</v>
      </c>
      <c r="B125" t="s">
        <v>45</v>
      </c>
      <c r="C125">
        <v>2</v>
      </c>
      <c r="D125">
        <v>0</v>
      </c>
      <c r="E125">
        <v>2</v>
      </c>
      <c r="F125" t="s">
        <v>45</v>
      </c>
      <c r="G125">
        <v>1</v>
      </c>
      <c r="H125">
        <v>14</v>
      </c>
    </row>
    <row r="126" spans="1:8" x14ac:dyDescent="0.4">
      <c r="A126" t="s">
        <v>47</v>
      </c>
      <c r="B126" t="s">
        <v>47</v>
      </c>
      <c r="C126">
        <v>13</v>
      </c>
      <c r="D126">
        <v>0</v>
      </c>
      <c r="E126">
        <v>0</v>
      </c>
      <c r="F126" t="s">
        <v>45</v>
      </c>
      <c r="G126">
        <v>1</v>
      </c>
      <c r="H126">
        <v>19</v>
      </c>
    </row>
    <row r="127" spans="1:8" x14ac:dyDescent="0.4">
      <c r="A127" t="s">
        <v>45</v>
      </c>
      <c r="B127" t="s">
        <v>47</v>
      </c>
      <c r="C127">
        <v>4.75</v>
      </c>
      <c r="D127">
        <v>0</v>
      </c>
      <c r="E127">
        <v>6</v>
      </c>
      <c r="F127" t="s">
        <v>45</v>
      </c>
      <c r="G127">
        <v>3</v>
      </c>
      <c r="H127">
        <v>16</v>
      </c>
    </row>
    <row r="128" spans="1:8" x14ac:dyDescent="0.4">
      <c r="A128" t="s">
        <v>47</v>
      </c>
      <c r="B128" t="s">
        <v>47</v>
      </c>
      <c r="C128">
        <v>0</v>
      </c>
      <c r="D128">
        <v>1</v>
      </c>
      <c r="E128">
        <v>4</v>
      </c>
      <c r="F128" t="s">
        <v>45</v>
      </c>
      <c r="G128">
        <v>3</v>
      </c>
      <c r="H128">
        <v>10</v>
      </c>
    </row>
    <row r="129" spans="1:8" x14ac:dyDescent="0.4">
      <c r="A129" t="s">
        <v>47</v>
      </c>
      <c r="B129" t="s">
        <v>47</v>
      </c>
      <c r="C129">
        <v>2.5</v>
      </c>
      <c r="D129">
        <v>1</v>
      </c>
      <c r="E129">
        <v>4</v>
      </c>
      <c r="F129" t="s">
        <v>45</v>
      </c>
      <c r="G129">
        <v>1</v>
      </c>
      <c r="H129">
        <v>9</v>
      </c>
    </row>
    <row r="130" spans="1:8" x14ac:dyDescent="0.4">
      <c r="A130" t="s">
        <v>45</v>
      </c>
      <c r="B130" t="s">
        <v>47</v>
      </c>
      <c r="C130">
        <v>1.5</v>
      </c>
      <c r="D130">
        <v>0</v>
      </c>
      <c r="E130">
        <v>6</v>
      </c>
      <c r="F130" t="s">
        <v>45</v>
      </c>
      <c r="G130">
        <v>3</v>
      </c>
      <c r="H130">
        <v>8</v>
      </c>
    </row>
    <row r="131" spans="1:8" x14ac:dyDescent="0.4">
      <c r="A131" t="s">
        <v>45</v>
      </c>
      <c r="B131" t="s">
        <v>47</v>
      </c>
      <c r="C131">
        <v>1</v>
      </c>
      <c r="D131">
        <v>0</v>
      </c>
      <c r="E131">
        <v>4</v>
      </c>
      <c r="F131" t="s">
        <v>45</v>
      </c>
      <c r="G131">
        <v>1</v>
      </c>
      <c r="H131">
        <v>13</v>
      </c>
    </row>
    <row r="132" spans="1:8" x14ac:dyDescent="0.4">
      <c r="A132" t="s">
        <v>45</v>
      </c>
      <c r="B132" t="s">
        <v>47</v>
      </c>
      <c r="C132">
        <v>11.5</v>
      </c>
      <c r="D132">
        <v>0</v>
      </c>
      <c r="E132">
        <v>0</v>
      </c>
      <c r="F132" t="s">
        <v>45</v>
      </c>
      <c r="G132">
        <v>5</v>
      </c>
      <c r="H132">
        <v>12</v>
      </c>
    </row>
    <row r="133" spans="1:8" x14ac:dyDescent="0.4">
      <c r="A133" t="s">
        <v>47</v>
      </c>
      <c r="B133" t="s">
        <v>47</v>
      </c>
      <c r="C133">
        <v>4.5</v>
      </c>
      <c r="D133">
        <v>1</v>
      </c>
      <c r="E133">
        <v>0</v>
      </c>
      <c r="F133" t="s">
        <v>45</v>
      </c>
      <c r="G133">
        <v>1</v>
      </c>
      <c r="H133">
        <v>10</v>
      </c>
    </row>
    <row r="134" spans="1:8" x14ac:dyDescent="0.4">
      <c r="A134" t="s">
        <v>47</v>
      </c>
      <c r="B134" t="s">
        <v>47</v>
      </c>
      <c r="C134">
        <v>2.25</v>
      </c>
      <c r="D134">
        <v>0</v>
      </c>
      <c r="E134">
        <v>0</v>
      </c>
      <c r="F134" t="s">
        <v>45</v>
      </c>
      <c r="G134">
        <v>2</v>
      </c>
      <c r="H134">
        <v>15</v>
      </c>
    </row>
    <row r="135" spans="1:8" x14ac:dyDescent="0.4">
      <c r="A135" t="s">
        <v>47</v>
      </c>
      <c r="B135" t="s">
        <v>47</v>
      </c>
      <c r="C135">
        <v>4.25</v>
      </c>
      <c r="D135">
        <v>0</v>
      </c>
      <c r="E135">
        <v>4</v>
      </c>
      <c r="F135" t="s">
        <v>45</v>
      </c>
      <c r="G135">
        <v>1</v>
      </c>
      <c r="H135">
        <v>14</v>
      </c>
    </row>
    <row r="136" spans="1:8" x14ac:dyDescent="0.4">
      <c r="A136" t="s">
        <v>47</v>
      </c>
      <c r="B136" t="s">
        <v>47</v>
      </c>
      <c r="C136">
        <v>3</v>
      </c>
      <c r="D136">
        <v>0</v>
      </c>
      <c r="E136">
        <v>0</v>
      </c>
      <c r="F136" t="s">
        <v>45</v>
      </c>
      <c r="G136">
        <v>3</v>
      </c>
      <c r="H136">
        <v>9</v>
      </c>
    </row>
    <row r="137" spans="1:8" x14ac:dyDescent="0.4">
      <c r="A137" t="s">
        <v>45</v>
      </c>
      <c r="B137" t="s">
        <v>47</v>
      </c>
      <c r="C137">
        <v>1.75</v>
      </c>
      <c r="D137">
        <v>0</v>
      </c>
      <c r="E137">
        <v>4</v>
      </c>
      <c r="F137" t="s">
        <v>45</v>
      </c>
      <c r="G137">
        <v>5</v>
      </c>
      <c r="H137">
        <v>11</v>
      </c>
    </row>
    <row r="138" spans="1:8" x14ac:dyDescent="0.4">
      <c r="A138" t="s">
        <v>45</v>
      </c>
      <c r="B138" t="s">
        <v>47</v>
      </c>
      <c r="C138">
        <v>6.75</v>
      </c>
      <c r="D138">
        <v>0</v>
      </c>
      <c r="E138">
        <v>12</v>
      </c>
      <c r="F138" t="s">
        <v>45</v>
      </c>
      <c r="G138">
        <v>1</v>
      </c>
      <c r="H138">
        <v>12</v>
      </c>
    </row>
    <row r="139" spans="1:8" x14ac:dyDescent="0.4">
      <c r="A139" t="s">
        <v>47</v>
      </c>
      <c r="B139" t="s">
        <v>47</v>
      </c>
      <c r="C139">
        <v>8.5</v>
      </c>
      <c r="D139">
        <v>0</v>
      </c>
      <c r="E139">
        <v>0</v>
      </c>
      <c r="F139" t="s">
        <v>45</v>
      </c>
      <c r="G139">
        <v>1</v>
      </c>
      <c r="H139">
        <v>18</v>
      </c>
    </row>
    <row r="140" spans="1:8" x14ac:dyDescent="0.4">
      <c r="A140" t="s">
        <v>45</v>
      </c>
      <c r="B140" t="s">
        <v>47</v>
      </c>
      <c r="C140">
        <v>3.5</v>
      </c>
      <c r="D140">
        <v>0</v>
      </c>
      <c r="E140">
        <v>0</v>
      </c>
      <c r="F140" t="s">
        <v>45</v>
      </c>
      <c r="G140">
        <v>1</v>
      </c>
      <c r="H140">
        <v>18</v>
      </c>
    </row>
    <row r="141" spans="1:8" x14ac:dyDescent="0.4">
      <c r="A141" t="s">
        <v>45</v>
      </c>
      <c r="B141" t="s">
        <v>47</v>
      </c>
      <c r="C141">
        <v>0.75</v>
      </c>
      <c r="D141">
        <v>0</v>
      </c>
      <c r="E141">
        <v>4</v>
      </c>
      <c r="F141" t="s">
        <v>45</v>
      </c>
      <c r="G141">
        <v>1</v>
      </c>
      <c r="H141">
        <v>15</v>
      </c>
    </row>
    <row r="142" spans="1:8" x14ac:dyDescent="0.4">
      <c r="A142" t="s">
        <v>45</v>
      </c>
      <c r="B142" t="s">
        <v>47</v>
      </c>
      <c r="C142">
        <v>2</v>
      </c>
      <c r="D142">
        <v>0</v>
      </c>
      <c r="E142">
        <v>0</v>
      </c>
      <c r="F142" t="s">
        <v>45</v>
      </c>
      <c r="G142">
        <v>1</v>
      </c>
      <c r="H142">
        <v>17</v>
      </c>
    </row>
    <row r="143" spans="1:8" x14ac:dyDescent="0.4">
      <c r="A143" t="s">
        <v>45</v>
      </c>
      <c r="B143" t="s">
        <v>45</v>
      </c>
      <c r="C143">
        <v>4</v>
      </c>
      <c r="D143">
        <v>0</v>
      </c>
      <c r="E143">
        <v>0</v>
      </c>
      <c r="F143" t="s">
        <v>45</v>
      </c>
      <c r="G143">
        <v>1</v>
      </c>
      <c r="H143">
        <v>11</v>
      </c>
    </row>
    <row r="144" spans="1:8" x14ac:dyDescent="0.4">
      <c r="A144" t="s">
        <v>45</v>
      </c>
      <c r="B144" t="s">
        <v>47</v>
      </c>
      <c r="C144">
        <v>1.25</v>
      </c>
      <c r="D144">
        <v>0</v>
      </c>
      <c r="E144">
        <v>0</v>
      </c>
      <c r="F144" t="s">
        <v>45</v>
      </c>
      <c r="G144">
        <v>2</v>
      </c>
      <c r="H144">
        <v>14</v>
      </c>
    </row>
    <row r="145" spans="1:8" x14ac:dyDescent="0.4">
      <c r="A145" t="s">
        <v>45</v>
      </c>
      <c r="B145" t="s">
        <v>47</v>
      </c>
      <c r="C145">
        <v>1</v>
      </c>
      <c r="D145">
        <v>0</v>
      </c>
      <c r="E145">
        <v>2</v>
      </c>
      <c r="F145" t="s">
        <v>45</v>
      </c>
      <c r="G145">
        <v>2</v>
      </c>
      <c r="H145">
        <v>12</v>
      </c>
    </row>
    <row r="146" spans="1:8" x14ac:dyDescent="0.4">
      <c r="A146" t="s">
        <v>47</v>
      </c>
      <c r="B146" t="s">
        <v>47</v>
      </c>
      <c r="C146">
        <v>2</v>
      </c>
      <c r="D146">
        <v>0</v>
      </c>
      <c r="E146">
        <v>0</v>
      </c>
      <c r="F146" t="s">
        <v>45</v>
      </c>
      <c r="G146">
        <v>1</v>
      </c>
      <c r="H146">
        <v>14</v>
      </c>
    </row>
    <row r="147" spans="1:8" x14ac:dyDescent="0.4">
      <c r="A147" t="s">
        <v>45</v>
      </c>
      <c r="B147" t="s">
        <v>47</v>
      </c>
      <c r="C147">
        <v>0</v>
      </c>
      <c r="D147">
        <v>0</v>
      </c>
      <c r="E147">
        <v>4</v>
      </c>
      <c r="F147" t="s">
        <v>45</v>
      </c>
      <c r="G147">
        <v>2</v>
      </c>
      <c r="H147">
        <v>9</v>
      </c>
    </row>
    <row r="148" spans="1:8" x14ac:dyDescent="0.4">
      <c r="A148" t="s">
        <v>47</v>
      </c>
      <c r="B148" t="s">
        <v>47</v>
      </c>
      <c r="C148">
        <v>0.5</v>
      </c>
      <c r="D148">
        <v>2</v>
      </c>
      <c r="E148">
        <v>4</v>
      </c>
      <c r="F148" t="s">
        <v>47</v>
      </c>
      <c r="G148">
        <v>3</v>
      </c>
      <c r="H148">
        <v>6</v>
      </c>
    </row>
    <row r="149" spans="1:8" x14ac:dyDescent="0.4">
      <c r="A149" t="s">
        <v>45</v>
      </c>
      <c r="B149" t="s">
        <v>47</v>
      </c>
      <c r="C149">
        <v>4</v>
      </c>
      <c r="D149">
        <v>0</v>
      </c>
      <c r="E149">
        <v>0</v>
      </c>
      <c r="F149" t="s">
        <v>45</v>
      </c>
      <c r="G149">
        <v>1</v>
      </c>
      <c r="H149">
        <v>11</v>
      </c>
    </row>
    <row r="150" spans="1:8" x14ac:dyDescent="0.4">
      <c r="A150" t="s">
        <v>47</v>
      </c>
      <c r="B150" t="s">
        <v>47</v>
      </c>
      <c r="C150">
        <v>0</v>
      </c>
      <c r="D150">
        <v>1</v>
      </c>
      <c r="E150">
        <v>0</v>
      </c>
      <c r="F150" t="s">
        <v>47</v>
      </c>
      <c r="G150">
        <v>1</v>
      </c>
      <c r="H150">
        <v>10</v>
      </c>
    </row>
    <row r="151" spans="1:8" x14ac:dyDescent="0.4">
      <c r="A151" t="s">
        <v>47</v>
      </c>
      <c r="B151" t="s">
        <v>47</v>
      </c>
      <c r="C151">
        <v>4</v>
      </c>
      <c r="D151">
        <v>0</v>
      </c>
      <c r="E151">
        <v>4</v>
      </c>
      <c r="F151" t="s">
        <v>45</v>
      </c>
      <c r="G151">
        <v>1</v>
      </c>
      <c r="H151">
        <v>8</v>
      </c>
    </row>
    <row r="152" spans="1:8" x14ac:dyDescent="0.4">
      <c r="A152" t="s">
        <v>45</v>
      </c>
      <c r="B152" t="s">
        <v>45</v>
      </c>
      <c r="C152">
        <v>4.75</v>
      </c>
      <c r="D152">
        <v>0</v>
      </c>
      <c r="E152">
        <v>0</v>
      </c>
      <c r="F152" t="s">
        <v>45</v>
      </c>
      <c r="G152">
        <v>3</v>
      </c>
      <c r="H152">
        <v>12</v>
      </c>
    </row>
    <row r="153" spans="1:8" x14ac:dyDescent="0.4">
      <c r="A153" t="s">
        <v>45</v>
      </c>
      <c r="B153" t="s">
        <v>47</v>
      </c>
      <c r="C153">
        <v>1.25</v>
      </c>
      <c r="D153">
        <v>0</v>
      </c>
      <c r="E153">
        <v>0</v>
      </c>
      <c r="F153" t="s">
        <v>45</v>
      </c>
      <c r="G153">
        <v>3</v>
      </c>
      <c r="H153">
        <v>10</v>
      </c>
    </row>
    <row r="154" spans="1:8" x14ac:dyDescent="0.4">
      <c r="A154" t="s">
        <v>47</v>
      </c>
      <c r="B154" t="s">
        <v>45</v>
      </c>
      <c r="C154">
        <v>2</v>
      </c>
      <c r="D154">
        <v>0</v>
      </c>
      <c r="E154">
        <v>0</v>
      </c>
      <c r="F154" t="s">
        <v>45</v>
      </c>
      <c r="G154">
        <v>1</v>
      </c>
      <c r="H154">
        <v>14</v>
      </c>
    </row>
    <row r="155" spans="1:8" x14ac:dyDescent="0.4">
      <c r="A155" t="s">
        <v>47</v>
      </c>
      <c r="B155" t="s">
        <v>45</v>
      </c>
      <c r="C155">
        <v>4.75</v>
      </c>
      <c r="D155">
        <v>0</v>
      </c>
      <c r="E155">
        <v>6</v>
      </c>
      <c r="F155" t="s">
        <v>45</v>
      </c>
      <c r="G155">
        <v>2</v>
      </c>
      <c r="H155">
        <v>12</v>
      </c>
    </row>
    <row r="156" spans="1:8" x14ac:dyDescent="0.4">
      <c r="A156" t="s">
        <v>45</v>
      </c>
      <c r="B156" t="s">
        <v>47</v>
      </c>
      <c r="C156">
        <v>1.25</v>
      </c>
      <c r="D156">
        <v>1</v>
      </c>
      <c r="E156">
        <v>6</v>
      </c>
      <c r="F156" t="s">
        <v>45</v>
      </c>
      <c r="G156">
        <v>4</v>
      </c>
      <c r="H156">
        <v>10</v>
      </c>
    </row>
    <row r="157" spans="1:8" x14ac:dyDescent="0.4">
      <c r="A157" t="s">
        <v>45</v>
      </c>
      <c r="B157" t="s">
        <v>47</v>
      </c>
      <c r="C157">
        <v>0.25</v>
      </c>
      <c r="D157">
        <v>3</v>
      </c>
      <c r="E157">
        <v>2</v>
      </c>
      <c r="F157" t="s">
        <v>45</v>
      </c>
      <c r="G157">
        <v>2</v>
      </c>
      <c r="H157">
        <v>8</v>
      </c>
    </row>
    <row r="158" spans="1:8" x14ac:dyDescent="0.4">
      <c r="A158" t="s">
        <v>47</v>
      </c>
      <c r="B158" t="s">
        <v>47</v>
      </c>
      <c r="C158">
        <v>4.5</v>
      </c>
      <c r="D158">
        <v>0</v>
      </c>
      <c r="E158">
        <v>16</v>
      </c>
      <c r="F158" t="s">
        <v>45</v>
      </c>
      <c r="G158">
        <v>3</v>
      </c>
      <c r="H158">
        <v>10</v>
      </c>
    </row>
    <row r="159" spans="1:8" x14ac:dyDescent="0.4">
      <c r="A159" t="s">
        <v>45</v>
      </c>
      <c r="B159" t="s">
        <v>47</v>
      </c>
      <c r="C159">
        <v>8.5</v>
      </c>
      <c r="D159">
        <v>1</v>
      </c>
      <c r="E159">
        <v>4</v>
      </c>
      <c r="F159" t="s">
        <v>45</v>
      </c>
      <c r="G159">
        <v>1</v>
      </c>
      <c r="H159">
        <v>10</v>
      </c>
    </row>
    <row r="160" spans="1:8" x14ac:dyDescent="0.4">
      <c r="A160" t="s">
        <v>47</v>
      </c>
      <c r="B160" t="s">
        <v>47</v>
      </c>
      <c r="C160">
        <v>14.75</v>
      </c>
      <c r="D160">
        <v>0</v>
      </c>
      <c r="E160">
        <v>4</v>
      </c>
      <c r="F160" t="s">
        <v>45</v>
      </c>
      <c r="G160">
        <v>1</v>
      </c>
      <c r="H160">
        <v>15</v>
      </c>
    </row>
    <row r="161" spans="1:8" x14ac:dyDescent="0.4">
      <c r="A161" t="s">
        <v>45</v>
      </c>
      <c r="B161" t="s">
        <v>47</v>
      </c>
      <c r="C161">
        <v>0.75</v>
      </c>
      <c r="D161">
        <v>0</v>
      </c>
      <c r="E161">
        <v>0</v>
      </c>
      <c r="F161" t="s">
        <v>47</v>
      </c>
      <c r="G161">
        <v>4</v>
      </c>
      <c r="H161">
        <v>10</v>
      </c>
    </row>
    <row r="162" spans="1:8" x14ac:dyDescent="0.4">
      <c r="A162" t="s">
        <v>45</v>
      </c>
      <c r="B162" t="s">
        <v>47</v>
      </c>
      <c r="C162">
        <v>0.5</v>
      </c>
      <c r="D162">
        <v>0</v>
      </c>
      <c r="E162">
        <v>6</v>
      </c>
      <c r="F162" t="s">
        <v>45</v>
      </c>
      <c r="G162">
        <v>1</v>
      </c>
      <c r="H162">
        <v>15</v>
      </c>
    </row>
    <row r="163" spans="1:8" x14ac:dyDescent="0.4">
      <c r="A163" t="s">
        <v>45</v>
      </c>
      <c r="B163" t="s">
        <v>47</v>
      </c>
      <c r="C163">
        <v>3</v>
      </c>
      <c r="D163">
        <v>0</v>
      </c>
      <c r="E163">
        <v>16</v>
      </c>
      <c r="F163" t="s">
        <v>45</v>
      </c>
      <c r="G163">
        <v>1</v>
      </c>
      <c r="H163">
        <v>10</v>
      </c>
    </row>
    <row r="164" spans="1:8" x14ac:dyDescent="0.4">
      <c r="A164" t="s">
        <v>47</v>
      </c>
      <c r="B164" t="s">
        <v>47</v>
      </c>
      <c r="C164">
        <v>0.75</v>
      </c>
      <c r="D164">
        <v>0</v>
      </c>
      <c r="E164">
        <v>0</v>
      </c>
      <c r="F164" t="s">
        <v>45</v>
      </c>
      <c r="G164">
        <v>1</v>
      </c>
      <c r="H164">
        <v>13</v>
      </c>
    </row>
    <row r="165" spans="1:8" x14ac:dyDescent="0.4">
      <c r="A165" t="s">
        <v>45</v>
      </c>
      <c r="B165" t="s">
        <v>47</v>
      </c>
      <c r="C165">
        <v>4.25</v>
      </c>
      <c r="D165">
        <v>0</v>
      </c>
      <c r="E165">
        <v>8</v>
      </c>
      <c r="F165" t="s">
        <v>45</v>
      </c>
      <c r="G165">
        <v>1</v>
      </c>
      <c r="H165">
        <v>12</v>
      </c>
    </row>
    <row r="166" spans="1:8" x14ac:dyDescent="0.4">
      <c r="A166" t="s">
        <v>45</v>
      </c>
      <c r="B166" t="s">
        <v>47</v>
      </c>
      <c r="C166">
        <v>8.25</v>
      </c>
      <c r="D166">
        <v>0</v>
      </c>
      <c r="E166">
        <v>0</v>
      </c>
      <c r="F166" t="s">
        <v>45</v>
      </c>
      <c r="G166">
        <v>1</v>
      </c>
      <c r="H166">
        <v>12</v>
      </c>
    </row>
    <row r="167" spans="1:8" x14ac:dyDescent="0.4">
      <c r="A167" t="s">
        <v>47</v>
      </c>
      <c r="B167" t="s">
        <v>47</v>
      </c>
      <c r="C167">
        <v>0.5</v>
      </c>
      <c r="D167">
        <v>1</v>
      </c>
      <c r="E167">
        <v>14</v>
      </c>
      <c r="F167" t="s">
        <v>45</v>
      </c>
      <c r="G167">
        <v>1</v>
      </c>
      <c r="H167">
        <v>8</v>
      </c>
    </row>
    <row r="168" spans="1:8" x14ac:dyDescent="0.4">
      <c r="A168" t="s">
        <v>47</v>
      </c>
      <c r="B168" t="s">
        <v>47</v>
      </c>
      <c r="C168">
        <v>0.75</v>
      </c>
      <c r="D168">
        <v>0</v>
      </c>
      <c r="E168">
        <v>8</v>
      </c>
      <c r="F168" t="s">
        <v>45</v>
      </c>
      <c r="G168">
        <v>5</v>
      </c>
      <c r="H168">
        <v>11</v>
      </c>
    </row>
    <row r="169" spans="1:8" x14ac:dyDescent="0.4">
      <c r="A169" t="s">
        <v>45</v>
      </c>
      <c r="B169" t="s">
        <v>47</v>
      </c>
      <c r="C169">
        <v>4.25</v>
      </c>
      <c r="D169">
        <v>0</v>
      </c>
      <c r="E169">
        <v>4</v>
      </c>
      <c r="F169" t="s">
        <v>45</v>
      </c>
      <c r="G169">
        <v>1</v>
      </c>
      <c r="H169">
        <v>10</v>
      </c>
    </row>
    <row r="170" spans="1:8" x14ac:dyDescent="0.4">
      <c r="A170" t="s">
        <v>45</v>
      </c>
      <c r="B170" t="s">
        <v>47</v>
      </c>
      <c r="C170">
        <v>0.75</v>
      </c>
      <c r="D170">
        <v>0</v>
      </c>
      <c r="E170">
        <v>8</v>
      </c>
      <c r="F170" t="s">
        <v>47</v>
      </c>
      <c r="G170">
        <v>5</v>
      </c>
      <c r="H170">
        <v>9</v>
      </c>
    </row>
    <row r="171" spans="1:8" x14ac:dyDescent="0.4">
      <c r="A171" t="s">
        <v>47</v>
      </c>
      <c r="B171" t="s">
        <v>47</v>
      </c>
      <c r="C171">
        <v>9.25</v>
      </c>
      <c r="D171">
        <v>0</v>
      </c>
      <c r="E171">
        <v>10</v>
      </c>
      <c r="F171" t="s">
        <v>45</v>
      </c>
      <c r="G171">
        <v>2</v>
      </c>
      <c r="H171">
        <v>11</v>
      </c>
    </row>
    <row r="172" spans="1:8" x14ac:dyDescent="0.4">
      <c r="A172" t="s">
        <v>47</v>
      </c>
      <c r="B172" t="s">
        <v>47</v>
      </c>
      <c r="C172">
        <v>2.25</v>
      </c>
      <c r="D172">
        <v>2</v>
      </c>
      <c r="E172">
        <v>0</v>
      </c>
      <c r="F172" t="s">
        <v>47</v>
      </c>
      <c r="G172">
        <v>1</v>
      </c>
      <c r="H172">
        <v>11</v>
      </c>
    </row>
    <row r="173" spans="1:8" x14ac:dyDescent="0.4">
      <c r="A173" t="s">
        <v>47</v>
      </c>
      <c r="B173" t="s">
        <v>47</v>
      </c>
      <c r="C173">
        <v>0</v>
      </c>
      <c r="D173">
        <v>0</v>
      </c>
      <c r="E173">
        <v>0</v>
      </c>
      <c r="F173" t="s">
        <v>45</v>
      </c>
      <c r="G173">
        <v>2</v>
      </c>
      <c r="H173">
        <v>13</v>
      </c>
    </row>
    <row r="174" spans="1:8" x14ac:dyDescent="0.4">
      <c r="A174" t="s">
        <v>47</v>
      </c>
      <c r="B174" t="s">
        <v>45</v>
      </c>
      <c r="C174">
        <v>9.5</v>
      </c>
      <c r="D174">
        <v>0</v>
      </c>
      <c r="E174">
        <v>0</v>
      </c>
      <c r="F174" t="s">
        <v>45</v>
      </c>
      <c r="G174">
        <v>1</v>
      </c>
      <c r="H174">
        <v>11</v>
      </c>
    </row>
    <row r="175" spans="1:8" x14ac:dyDescent="0.4">
      <c r="A175" t="s">
        <v>45</v>
      </c>
      <c r="B175" t="s">
        <v>45</v>
      </c>
      <c r="C175">
        <v>10.25</v>
      </c>
      <c r="D175">
        <v>0</v>
      </c>
      <c r="E175">
        <v>0</v>
      </c>
      <c r="F175" t="s">
        <v>45</v>
      </c>
      <c r="G175">
        <v>1</v>
      </c>
      <c r="H175">
        <v>14</v>
      </c>
    </row>
    <row r="176" spans="1:8" x14ac:dyDescent="0.4">
      <c r="A176" t="s">
        <v>45</v>
      </c>
      <c r="B176" t="s">
        <v>47</v>
      </c>
      <c r="C176">
        <v>10.75</v>
      </c>
      <c r="D176">
        <v>0</v>
      </c>
      <c r="E176">
        <v>4</v>
      </c>
      <c r="F176" t="s">
        <v>47</v>
      </c>
      <c r="G176">
        <v>1</v>
      </c>
      <c r="H176">
        <v>11</v>
      </c>
    </row>
    <row r="177" spans="1:8" x14ac:dyDescent="0.4">
      <c r="A177" t="s">
        <v>45</v>
      </c>
      <c r="B177" t="s">
        <v>47</v>
      </c>
      <c r="C177">
        <v>0.75</v>
      </c>
      <c r="D177">
        <v>0</v>
      </c>
      <c r="E177">
        <v>7</v>
      </c>
      <c r="F177" t="s">
        <v>45</v>
      </c>
      <c r="G177">
        <v>1</v>
      </c>
      <c r="H177">
        <v>15</v>
      </c>
    </row>
    <row r="178" spans="1:8" x14ac:dyDescent="0.4">
      <c r="A178" t="s">
        <v>45</v>
      </c>
      <c r="B178" t="s">
        <v>45</v>
      </c>
      <c r="C178">
        <v>7.75</v>
      </c>
      <c r="D178">
        <v>0</v>
      </c>
      <c r="E178">
        <v>4</v>
      </c>
      <c r="F178" t="s">
        <v>45</v>
      </c>
      <c r="G178">
        <v>1</v>
      </c>
      <c r="H178">
        <v>11</v>
      </c>
    </row>
    <row r="179" spans="1:8" x14ac:dyDescent="0.4">
      <c r="A179" t="s">
        <v>45</v>
      </c>
      <c r="B179" t="s">
        <v>47</v>
      </c>
      <c r="C179">
        <v>1</v>
      </c>
      <c r="D179">
        <v>0</v>
      </c>
      <c r="E179">
        <v>6</v>
      </c>
      <c r="F179" t="s">
        <v>45</v>
      </c>
      <c r="G179">
        <v>2</v>
      </c>
      <c r="H179">
        <v>13</v>
      </c>
    </row>
    <row r="180" spans="1:8" x14ac:dyDescent="0.4">
      <c r="A180" t="s">
        <v>47</v>
      </c>
      <c r="B180" t="s">
        <v>47</v>
      </c>
      <c r="C180">
        <v>2.75</v>
      </c>
      <c r="D180">
        <v>0</v>
      </c>
      <c r="E180">
        <v>2</v>
      </c>
      <c r="F180" t="s">
        <v>45</v>
      </c>
      <c r="G180">
        <v>1</v>
      </c>
      <c r="H180">
        <v>11</v>
      </c>
    </row>
    <row r="181" spans="1:8" x14ac:dyDescent="0.4">
      <c r="A181" t="s">
        <v>47</v>
      </c>
      <c r="B181" t="s">
        <v>47</v>
      </c>
      <c r="C181">
        <v>1</v>
      </c>
      <c r="D181">
        <v>0</v>
      </c>
      <c r="E181">
        <v>0</v>
      </c>
      <c r="F181" t="s">
        <v>45</v>
      </c>
      <c r="G181">
        <v>2</v>
      </c>
      <c r="H181">
        <v>10</v>
      </c>
    </row>
    <row r="182" spans="1:8" x14ac:dyDescent="0.4">
      <c r="A182" t="s">
        <v>47</v>
      </c>
      <c r="B182" t="s">
        <v>47</v>
      </c>
      <c r="C182">
        <v>3.25</v>
      </c>
      <c r="D182">
        <v>0</v>
      </c>
      <c r="E182">
        <v>0</v>
      </c>
      <c r="F182" t="s">
        <v>45</v>
      </c>
      <c r="G182">
        <v>1</v>
      </c>
      <c r="H182">
        <v>18</v>
      </c>
    </row>
    <row r="183" spans="1:8" x14ac:dyDescent="0.4">
      <c r="A183" t="s">
        <v>47</v>
      </c>
      <c r="B183" t="s">
        <v>47</v>
      </c>
      <c r="C183">
        <v>15</v>
      </c>
      <c r="D183">
        <v>0</v>
      </c>
      <c r="E183">
        <v>1</v>
      </c>
      <c r="F183" t="s">
        <v>45</v>
      </c>
      <c r="G183">
        <v>2</v>
      </c>
      <c r="H183">
        <v>13</v>
      </c>
    </row>
    <row r="184" spans="1:8" x14ac:dyDescent="0.4">
      <c r="A184" t="s">
        <v>45</v>
      </c>
      <c r="B184" t="s">
        <v>45</v>
      </c>
      <c r="C184">
        <v>2.75</v>
      </c>
      <c r="D184">
        <v>0</v>
      </c>
      <c r="E184">
        <v>2</v>
      </c>
      <c r="F184" t="s">
        <v>45</v>
      </c>
      <c r="G184">
        <v>4</v>
      </c>
      <c r="H184">
        <v>11</v>
      </c>
    </row>
    <row r="185" spans="1:8" x14ac:dyDescent="0.4">
      <c r="A185" t="s">
        <v>47</v>
      </c>
      <c r="B185" t="s">
        <v>47</v>
      </c>
      <c r="C185">
        <v>3.25</v>
      </c>
      <c r="D185">
        <v>0</v>
      </c>
      <c r="E185">
        <v>0</v>
      </c>
      <c r="F185" t="s">
        <v>45</v>
      </c>
      <c r="G185">
        <v>3</v>
      </c>
      <c r="H185">
        <v>13</v>
      </c>
    </row>
    <row r="186" spans="1:8" x14ac:dyDescent="0.4">
      <c r="A186" t="s">
        <v>45</v>
      </c>
      <c r="B186" t="s">
        <v>47</v>
      </c>
      <c r="C186">
        <v>8</v>
      </c>
      <c r="D186">
        <v>0</v>
      </c>
      <c r="E186">
        <v>4</v>
      </c>
      <c r="F186" t="s">
        <v>45</v>
      </c>
      <c r="G186">
        <v>2</v>
      </c>
      <c r="H186">
        <v>15</v>
      </c>
    </row>
    <row r="187" spans="1:8" x14ac:dyDescent="0.4">
      <c r="A187" t="s">
        <v>45</v>
      </c>
      <c r="B187" t="s">
        <v>47</v>
      </c>
      <c r="C187">
        <v>2.5</v>
      </c>
      <c r="D187">
        <v>0</v>
      </c>
      <c r="E187">
        <v>0</v>
      </c>
      <c r="F187" t="s">
        <v>45</v>
      </c>
      <c r="G187">
        <v>1</v>
      </c>
      <c r="H187">
        <v>13</v>
      </c>
    </row>
    <row r="188" spans="1:8" x14ac:dyDescent="0.4">
      <c r="A188" t="s">
        <v>47</v>
      </c>
      <c r="B188" t="s">
        <v>47</v>
      </c>
      <c r="C188">
        <v>0.5</v>
      </c>
      <c r="D188">
        <v>0</v>
      </c>
      <c r="E188">
        <v>2</v>
      </c>
      <c r="F188" t="s">
        <v>45</v>
      </c>
      <c r="G188">
        <v>2</v>
      </c>
      <c r="H188">
        <v>7</v>
      </c>
    </row>
    <row r="189" spans="1:8" x14ac:dyDescent="0.4">
      <c r="A189" t="s">
        <v>45</v>
      </c>
      <c r="B189" t="s">
        <v>47</v>
      </c>
      <c r="C189">
        <v>3.5</v>
      </c>
      <c r="D189">
        <v>0</v>
      </c>
      <c r="E189">
        <v>0</v>
      </c>
      <c r="F189" t="s">
        <v>45</v>
      </c>
      <c r="G189">
        <v>1</v>
      </c>
      <c r="H189">
        <v>15</v>
      </c>
    </row>
    <row r="190" spans="1:8" x14ac:dyDescent="0.4">
      <c r="A190" t="s">
        <v>45</v>
      </c>
      <c r="B190" t="s">
        <v>47</v>
      </c>
      <c r="C190">
        <v>4.25</v>
      </c>
      <c r="D190">
        <v>0</v>
      </c>
      <c r="E190">
        <v>6</v>
      </c>
      <c r="F190" t="s">
        <v>45</v>
      </c>
      <c r="G190">
        <v>2</v>
      </c>
      <c r="H190">
        <v>14</v>
      </c>
    </row>
    <row r="191" spans="1:8" x14ac:dyDescent="0.4">
      <c r="A191" t="s">
        <v>47</v>
      </c>
      <c r="B191" t="s">
        <v>47</v>
      </c>
      <c r="C191">
        <v>1</v>
      </c>
      <c r="D191">
        <v>0</v>
      </c>
      <c r="E191">
        <v>1</v>
      </c>
      <c r="F191" t="s">
        <v>45</v>
      </c>
      <c r="G191">
        <v>1</v>
      </c>
      <c r="H191">
        <v>14</v>
      </c>
    </row>
    <row r="192" spans="1:8" x14ac:dyDescent="0.4">
      <c r="A192" t="s">
        <v>45</v>
      </c>
      <c r="B192" t="s">
        <v>47</v>
      </c>
      <c r="C192">
        <v>4</v>
      </c>
      <c r="D192">
        <v>0</v>
      </c>
      <c r="E192">
        <v>0</v>
      </c>
      <c r="F192" t="s">
        <v>45</v>
      </c>
      <c r="G192">
        <v>1</v>
      </c>
      <c r="H192">
        <v>12</v>
      </c>
    </row>
    <row r="193" spans="1:8" x14ac:dyDescent="0.4">
      <c r="A193" t="s">
        <v>47</v>
      </c>
      <c r="B193" t="s">
        <v>47</v>
      </c>
      <c r="C193">
        <v>3.75</v>
      </c>
      <c r="D193">
        <v>0</v>
      </c>
      <c r="E193">
        <v>4</v>
      </c>
      <c r="F193" t="s">
        <v>45</v>
      </c>
      <c r="G193">
        <v>1</v>
      </c>
      <c r="H193">
        <v>16</v>
      </c>
    </row>
    <row r="194" spans="1:8" x14ac:dyDescent="0.4">
      <c r="A194" t="s">
        <v>47</v>
      </c>
      <c r="B194" t="s">
        <v>47</v>
      </c>
      <c r="C194">
        <v>0.25</v>
      </c>
      <c r="D194">
        <v>0</v>
      </c>
      <c r="E194">
        <v>10</v>
      </c>
      <c r="F194" t="s">
        <v>45</v>
      </c>
      <c r="G194">
        <v>1</v>
      </c>
      <c r="H194">
        <v>18</v>
      </c>
    </row>
    <row r="195" spans="1:8" x14ac:dyDescent="0.4">
      <c r="A195" t="s">
        <v>45</v>
      </c>
      <c r="B195" t="s">
        <v>47</v>
      </c>
      <c r="C195">
        <v>1.75</v>
      </c>
      <c r="D195">
        <v>0</v>
      </c>
      <c r="E195">
        <v>6</v>
      </c>
      <c r="F195" t="s">
        <v>45</v>
      </c>
      <c r="G195">
        <v>3</v>
      </c>
      <c r="H195">
        <v>11</v>
      </c>
    </row>
    <row r="196" spans="1:8" x14ac:dyDescent="0.4">
      <c r="A196" t="s">
        <v>45</v>
      </c>
      <c r="B196" t="s">
        <v>47</v>
      </c>
      <c r="C196">
        <v>4.25</v>
      </c>
      <c r="D196">
        <v>0</v>
      </c>
      <c r="E196">
        <v>4</v>
      </c>
      <c r="F196" t="s">
        <v>45</v>
      </c>
      <c r="G196">
        <v>1</v>
      </c>
      <c r="H196">
        <v>16</v>
      </c>
    </row>
    <row r="197" spans="1:8" x14ac:dyDescent="0.4">
      <c r="A197" t="s">
        <v>45</v>
      </c>
      <c r="B197" t="s">
        <v>47</v>
      </c>
      <c r="C197">
        <v>3.75</v>
      </c>
      <c r="D197">
        <v>0</v>
      </c>
      <c r="E197">
        <v>0</v>
      </c>
      <c r="F197" t="s">
        <v>45</v>
      </c>
      <c r="G197">
        <v>1</v>
      </c>
      <c r="H197">
        <v>12</v>
      </c>
    </row>
    <row r="198" spans="1:8" x14ac:dyDescent="0.4">
      <c r="A198" t="s">
        <v>45</v>
      </c>
      <c r="B198" t="s">
        <v>47</v>
      </c>
      <c r="C198">
        <v>5.25</v>
      </c>
      <c r="D198">
        <v>0</v>
      </c>
      <c r="E198">
        <v>0</v>
      </c>
      <c r="F198" t="s">
        <v>45</v>
      </c>
      <c r="G198">
        <v>1</v>
      </c>
      <c r="H198">
        <v>13</v>
      </c>
    </row>
    <row r="199" spans="1:8" x14ac:dyDescent="0.4">
      <c r="A199" t="s">
        <v>45</v>
      </c>
      <c r="B199" t="s">
        <v>47</v>
      </c>
      <c r="C199">
        <v>4.75</v>
      </c>
      <c r="D199">
        <v>0</v>
      </c>
      <c r="E199">
        <v>0</v>
      </c>
      <c r="F199" t="s">
        <v>45</v>
      </c>
      <c r="G199">
        <v>1</v>
      </c>
      <c r="H199">
        <v>15</v>
      </c>
    </row>
    <row r="200" spans="1:8" x14ac:dyDescent="0.4">
      <c r="A200" t="s">
        <v>45</v>
      </c>
      <c r="B200" t="s">
        <v>47</v>
      </c>
      <c r="C200">
        <v>4</v>
      </c>
      <c r="D200">
        <v>0</v>
      </c>
      <c r="E200">
        <v>2</v>
      </c>
      <c r="F200" t="s">
        <v>45</v>
      </c>
      <c r="G200">
        <v>2</v>
      </c>
      <c r="H200">
        <v>12</v>
      </c>
    </row>
    <row r="201" spans="1:8" x14ac:dyDescent="0.4">
      <c r="A201" t="s">
        <v>45</v>
      </c>
      <c r="B201" t="s">
        <v>47</v>
      </c>
      <c r="C201">
        <v>1.75</v>
      </c>
      <c r="D201">
        <v>0</v>
      </c>
      <c r="E201">
        <v>2</v>
      </c>
      <c r="F201" t="s">
        <v>45</v>
      </c>
      <c r="G201">
        <v>3</v>
      </c>
      <c r="H201">
        <v>11</v>
      </c>
    </row>
    <row r="202" spans="1:8" x14ac:dyDescent="0.4">
      <c r="A202" t="s">
        <v>47</v>
      </c>
      <c r="B202" t="s">
        <v>47</v>
      </c>
      <c r="C202">
        <v>6.75</v>
      </c>
      <c r="D202">
        <v>0</v>
      </c>
      <c r="E202">
        <v>0</v>
      </c>
      <c r="F202" t="s">
        <v>45</v>
      </c>
      <c r="G202">
        <v>2</v>
      </c>
      <c r="H202">
        <v>15</v>
      </c>
    </row>
    <row r="203" spans="1:8" x14ac:dyDescent="0.4">
      <c r="A203" t="s">
        <v>47</v>
      </c>
      <c r="B203" t="s">
        <v>47</v>
      </c>
      <c r="C203">
        <v>1.5</v>
      </c>
      <c r="D203">
        <v>0</v>
      </c>
      <c r="E203">
        <v>11</v>
      </c>
      <c r="F203" t="s">
        <v>47</v>
      </c>
      <c r="G203">
        <v>2</v>
      </c>
      <c r="H203">
        <v>11</v>
      </c>
    </row>
    <row r="204" spans="1:8" x14ac:dyDescent="0.4">
      <c r="A204" t="s">
        <v>47</v>
      </c>
      <c r="B204" t="s">
        <v>47</v>
      </c>
      <c r="C204">
        <v>3</v>
      </c>
      <c r="D204">
        <v>0</v>
      </c>
      <c r="E204">
        <v>0</v>
      </c>
      <c r="F204" t="s">
        <v>45</v>
      </c>
      <c r="G204">
        <v>3</v>
      </c>
      <c r="H204">
        <v>10</v>
      </c>
    </row>
    <row r="205" spans="1:8" x14ac:dyDescent="0.4">
      <c r="A205" t="s">
        <v>47</v>
      </c>
      <c r="B205" t="s">
        <v>47</v>
      </c>
      <c r="C205">
        <v>1.75</v>
      </c>
      <c r="D205">
        <v>0</v>
      </c>
      <c r="E205">
        <v>4</v>
      </c>
      <c r="F205" t="s">
        <v>45</v>
      </c>
      <c r="G205">
        <v>1</v>
      </c>
      <c r="H205">
        <v>14</v>
      </c>
    </row>
    <row r="206" spans="1:8" x14ac:dyDescent="0.4">
      <c r="A206" t="s">
        <v>47</v>
      </c>
      <c r="B206" t="s">
        <v>47</v>
      </c>
      <c r="C206">
        <v>4.5</v>
      </c>
      <c r="D206">
        <v>1</v>
      </c>
      <c r="E206">
        <v>8</v>
      </c>
      <c r="F206" t="s">
        <v>45</v>
      </c>
      <c r="G206">
        <v>2</v>
      </c>
      <c r="H206">
        <v>8</v>
      </c>
    </row>
    <row r="207" spans="1:8" x14ac:dyDescent="0.4">
      <c r="A207" t="s">
        <v>47</v>
      </c>
      <c r="B207" t="s">
        <v>47</v>
      </c>
      <c r="C207">
        <v>9.5</v>
      </c>
      <c r="D207">
        <v>0</v>
      </c>
      <c r="E207">
        <v>0</v>
      </c>
      <c r="F207" t="s">
        <v>45</v>
      </c>
      <c r="G207">
        <v>1</v>
      </c>
      <c r="H207">
        <v>18</v>
      </c>
    </row>
    <row r="208" spans="1:8" x14ac:dyDescent="0.4">
      <c r="A208" t="s">
        <v>45</v>
      </c>
      <c r="B208" t="s">
        <v>47</v>
      </c>
      <c r="C208">
        <v>3.25</v>
      </c>
      <c r="D208">
        <v>0</v>
      </c>
      <c r="E208">
        <v>4</v>
      </c>
      <c r="F208" t="s">
        <v>45</v>
      </c>
      <c r="G208">
        <v>1</v>
      </c>
      <c r="H208">
        <v>15</v>
      </c>
    </row>
    <row r="209" spans="1:8" x14ac:dyDescent="0.4">
      <c r="A209" t="s">
        <v>45</v>
      </c>
      <c r="B209" t="s">
        <v>47</v>
      </c>
      <c r="C209">
        <v>1.5</v>
      </c>
      <c r="D209">
        <v>1</v>
      </c>
      <c r="E209">
        <v>8</v>
      </c>
      <c r="F209" t="s">
        <v>47</v>
      </c>
      <c r="G209">
        <v>2</v>
      </c>
      <c r="H209">
        <v>9</v>
      </c>
    </row>
    <row r="210" spans="1:8" x14ac:dyDescent="0.4">
      <c r="A210" t="s">
        <v>45</v>
      </c>
      <c r="B210" t="s">
        <v>45</v>
      </c>
      <c r="C210">
        <v>12</v>
      </c>
      <c r="D210">
        <v>0</v>
      </c>
      <c r="E210">
        <v>4</v>
      </c>
      <c r="F210" t="s">
        <v>45</v>
      </c>
      <c r="G210">
        <v>1</v>
      </c>
      <c r="H210">
        <v>13</v>
      </c>
    </row>
    <row r="211" spans="1:8" x14ac:dyDescent="0.4">
      <c r="A211" t="s">
        <v>45</v>
      </c>
      <c r="B211" t="s">
        <v>47</v>
      </c>
      <c r="C211">
        <v>1.75</v>
      </c>
      <c r="D211">
        <v>0</v>
      </c>
      <c r="E211">
        <v>0</v>
      </c>
      <c r="F211" t="s">
        <v>45</v>
      </c>
      <c r="G211">
        <v>4</v>
      </c>
      <c r="H211">
        <v>14</v>
      </c>
    </row>
    <row r="212" spans="1:8" x14ac:dyDescent="0.4">
      <c r="A212" t="s">
        <v>47</v>
      </c>
      <c r="B212" t="s">
        <v>47</v>
      </c>
      <c r="C212">
        <v>1.75</v>
      </c>
      <c r="D212">
        <v>0</v>
      </c>
      <c r="E212">
        <v>4</v>
      </c>
      <c r="F212" t="s">
        <v>45</v>
      </c>
      <c r="G212">
        <v>1</v>
      </c>
      <c r="H212">
        <v>12</v>
      </c>
    </row>
    <row r="213" spans="1:8" x14ac:dyDescent="0.4">
      <c r="A213" t="s">
        <v>45</v>
      </c>
      <c r="B213" t="s">
        <v>47</v>
      </c>
      <c r="C213">
        <v>4.75</v>
      </c>
      <c r="D213">
        <v>0</v>
      </c>
      <c r="E213">
        <v>0</v>
      </c>
      <c r="F213" t="s">
        <v>45</v>
      </c>
      <c r="G213">
        <v>1</v>
      </c>
      <c r="H213">
        <v>11</v>
      </c>
    </row>
    <row r="214" spans="1:8" x14ac:dyDescent="0.4">
      <c r="A214" t="s">
        <v>45</v>
      </c>
      <c r="B214" t="s">
        <v>47</v>
      </c>
      <c r="C214">
        <v>1.75</v>
      </c>
      <c r="D214">
        <v>0</v>
      </c>
      <c r="E214">
        <v>4</v>
      </c>
      <c r="F214" t="s">
        <v>45</v>
      </c>
      <c r="G214">
        <v>1</v>
      </c>
      <c r="H214">
        <v>10</v>
      </c>
    </row>
    <row r="215" spans="1:8" x14ac:dyDescent="0.4">
      <c r="A215" t="s">
        <v>45</v>
      </c>
      <c r="B215" t="s">
        <v>47</v>
      </c>
      <c r="C215">
        <v>4</v>
      </c>
      <c r="D215">
        <v>0</v>
      </c>
      <c r="E215">
        <v>0</v>
      </c>
      <c r="F215" t="s">
        <v>45</v>
      </c>
      <c r="G215">
        <v>1</v>
      </c>
      <c r="H215">
        <v>15</v>
      </c>
    </row>
    <row r="216" spans="1:8" x14ac:dyDescent="0.4">
      <c r="A216" t="s">
        <v>45</v>
      </c>
      <c r="B216" t="s">
        <v>47</v>
      </c>
      <c r="C216">
        <v>6.5</v>
      </c>
      <c r="D216">
        <v>0</v>
      </c>
      <c r="E216">
        <v>2</v>
      </c>
      <c r="F216" t="s">
        <v>45</v>
      </c>
      <c r="G216">
        <v>1</v>
      </c>
      <c r="H216">
        <v>13</v>
      </c>
    </row>
    <row r="217" spans="1:8" x14ac:dyDescent="0.4">
      <c r="A217" t="s">
        <v>47</v>
      </c>
      <c r="B217" t="s">
        <v>47</v>
      </c>
      <c r="C217">
        <v>9.5</v>
      </c>
      <c r="D217">
        <v>2</v>
      </c>
      <c r="E217">
        <v>6</v>
      </c>
      <c r="F217" t="s">
        <v>47</v>
      </c>
      <c r="G217">
        <v>1</v>
      </c>
      <c r="H217">
        <v>10</v>
      </c>
    </row>
    <row r="218" spans="1:8" x14ac:dyDescent="0.4">
      <c r="A218" t="s">
        <v>47</v>
      </c>
      <c r="B218" t="s">
        <v>47</v>
      </c>
      <c r="C218">
        <v>4.75</v>
      </c>
      <c r="D218">
        <v>0</v>
      </c>
      <c r="E218">
        <v>6</v>
      </c>
      <c r="F218" t="s">
        <v>45</v>
      </c>
      <c r="G218">
        <v>1</v>
      </c>
      <c r="H218">
        <v>13</v>
      </c>
    </row>
    <row r="219" spans="1:8" x14ac:dyDescent="0.4">
      <c r="A219" t="s">
        <v>45</v>
      </c>
      <c r="B219" t="s">
        <v>47</v>
      </c>
      <c r="C219">
        <v>2.5</v>
      </c>
      <c r="D219">
        <v>0</v>
      </c>
      <c r="E219">
        <v>2</v>
      </c>
      <c r="F219" t="s">
        <v>45</v>
      </c>
      <c r="G219">
        <v>1</v>
      </c>
      <c r="H219">
        <v>16</v>
      </c>
    </row>
    <row r="220" spans="1:8" x14ac:dyDescent="0.4">
      <c r="A220" t="s">
        <v>47</v>
      </c>
      <c r="B220" t="s">
        <v>47</v>
      </c>
      <c r="C220">
        <v>4.75</v>
      </c>
      <c r="D220">
        <v>0</v>
      </c>
      <c r="E220">
        <v>6</v>
      </c>
      <c r="F220" t="s">
        <v>45</v>
      </c>
      <c r="G220">
        <v>3</v>
      </c>
      <c r="H220">
        <v>11</v>
      </c>
    </row>
    <row r="221" spans="1:8" x14ac:dyDescent="0.4">
      <c r="A221" t="s">
        <v>47</v>
      </c>
      <c r="B221" t="s">
        <v>47</v>
      </c>
      <c r="C221">
        <v>0.75</v>
      </c>
      <c r="D221">
        <v>1</v>
      </c>
      <c r="E221">
        <v>0</v>
      </c>
      <c r="F221" t="s">
        <v>45</v>
      </c>
      <c r="G221">
        <v>2</v>
      </c>
      <c r="H221">
        <v>0</v>
      </c>
    </row>
    <row r="222" spans="1:8" x14ac:dyDescent="0.4">
      <c r="A222" t="s">
        <v>45</v>
      </c>
      <c r="B222" t="s">
        <v>47</v>
      </c>
      <c r="C222">
        <v>4.75</v>
      </c>
      <c r="D222">
        <v>0</v>
      </c>
      <c r="E222">
        <v>0</v>
      </c>
      <c r="F222" t="s">
        <v>45</v>
      </c>
      <c r="G222">
        <v>1</v>
      </c>
      <c r="H222">
        <v>10</v>
      </c>
    </row>
    <row r="223" spans="1:8" x14ac:dyDescent="0.4">
      <c r="A223" t="s">
        <v>45</v>
      </c>
      <c r="B223" t="s">
        <v>47</v>
      </c>
      <c r="C223">
        <v>0.5</v>
      </c>
      <c r="D223">
        <v>1</v>
      </c>
      <c r="E223">
        <v>26</v>
      </c>
      <c r="F223" t="s">
        <v>47</v>
      </c>
      <c r="G223">
        <v>2</v>
      </c>
      <c r="H223">
        <v>8</v>
      </c>
    </row>
    <row r="224" spans="1:8" x14ac:dyDescent="0.4">
      <c r="A224" t="s">
        <v>47</v>
      </c>
      <c r="B224" t="s">
        <v>47</v>
      </c>
      <c r="C224">
        <v>2.75</v>
      </c>
      <c r="D224">
        <v>0</v>
      </c>
      <c r="E224">
        <v>0</v>
      </c>
      <c r="F224" t="s">
        <v>45</v>
      </c>
      <c r="G224">
        <v>1</v>
      </c>
      <c r="H224">
        <v>17</v>
      </c>
    </row>
    <row r="225" spans="1:8" x14ac:dyDescent="0.4">
      <c r="A225" t="s">
        <v>47</v>
      </c>
      <c r="B225" t="s">
        <v>47</v>
      </c>
      <c r="C225">
        <v>0.75</v>
      </c>
      <c r="D225">
        <v>0</v>
      </c>
      <c r="E225">
        <v>0</v>
      </c>
      <c r="F225" t="s">
        <v>45</v>
      </c>
      <c r="G225">
        <v>1</v>
      </c>
      <c r="H225">
        <v>16</v>
      </c>
    </row>
    <row r="226" spans="1:8" x14ac:dyDescent="0.4">
      <c r="A226" t="s">
        <v>47</v>
      </c>
      <c r="B226" t="s">
        <v>47</v>
      </c>
      <c r="C226">
        <v>3.5</v>
      </c>
      <c r="D226">
        <v>0</v>
      </c>
      <c r="E226">
        <v>0</v>
      </c>
      <c r="F226" t="s">
        <v>45</v>
      </c>
      <c r="G226">
        <v>1</v>
      </c>
      <c r="H226">
        <v>11</v>
      </c>
    </row>
    <row r="227" spans="1:8" x14ac:dyDescent="0.4">
      <c r="A227" t="s">
        <v>45</v>
      </c>
      <c r="B227" t="s">
        <v>47</v>
      </c>
      <c r="C227">
        <v>2.5</v>
      </c>
      <c r="D227">
        <v>0</v>
      </c>
      <c r="E227">
        <v>8</v>
      </c>
      <c r="F227" t="s">
        <v>45</v>
      </c>
      <c r="G227">
        <v>2</v>
      </c>
      <c r="H227">
        <v>15</v>
      </c>
    </row>
    <row r="228" spans="1:8" x14ac:dyDescent="0.4">
      <c r="A228" t="s">
        <v>47</v>
      </c>
      <c r="B228" t="s">
        <v>47</v>
      </c>
      <c r="C228">
        <v>8.5</v>
      </c>
      <c r="D228">
        <v>0</v>
      </c>
      <c r="E228">
        <v>5</v>
      </c>
      <c r="F228" t="s">
        <v>47</v>
      </c>
      <c r="G228">
        <v>2</v>
      </c>
      <c r="H228">
        <v>8</v>
      </c>
    </row>
    <row r="229" spans="1:8" x14ac:dyDescent="0.4">
      <c r="A229" t="s">
        <v>47</v>
      </c>
      <c r="B229" t="s">
        <v>47</v>
      </c>
      <c r="C229">
        <v>3.25</v>
      </c>
      <c r="D229">
        <v>0</v>
      </c>
      <c r="E229">
        <v>4</v>
      </c>
      <c r="F229" t="s">
        <v>45</v>
      </c>
      <c r="G229">
        <v>3</v>
      </c>
      <c r="H229">
        <v>9</v>
      </c>
    </row>
    <row r="230" spans="1:8" x14ac:dyDescent="0.4">
      <c r="A230" t="s">
        <v>47</v>
      </c>
      <c r="B230" t="s">
        <v>47</v>
      </c>
      <c r="C230">
        <v>2.25</v>
      </c>
      <c r="D230">
        <v>0</v>
      </c>
      <c r="E230">
        <v>0</v>
      </c>
      <c r="F230" t="s">
        <v>45</v>
      </c>
      <c r="G230">
        <v>1</v>
      </c>
      <c r="H230">
        <v>13</v>
      </c>
    </row>
    <row r="231" spans="1:8" x14ac:dyDescent="0.4">
      <c r="A231" t="s">
        <v>47</v>
      </c>
      <c r="B231" t="s">
        <v>47</v>
      </c>
      <c r="C231">
        <v>3.5</v>
      </c>
      <c r="D231">
        <v>0</v>
      </c>
      <c r="E231">
        <v>14</v>
      </c>
      <c r="F231" t="s">
        <v>45</v>
      </c>
      <c r="G231">
        <v>1</v>
      </c>
      <c r="H231">
        <v>17</v>
      </c>
    </row>
    <row r="232" spans="1:8" x14ac:dyDescent="0.4">
      <c r="A232" t="s">
        <v>45</v>
      </c>
      <c r="B232" t="s">
        <v>47</v>
      </c>
      <c r="C232">
        <v>0</v>
      </c>
      <c r="D232">
        <v>0</v>
      </c>
      <c r="E232">
        <v>0</v>
      </c>
      <c r="F232" t="s">
        <v>47</v>
      </c>
      <c r="G232">
        <v>1</v>
      </c>
      <c r="H232">
        <v>13</v>
      </c>
    </row>
    <row r="233" spans="1:8" x14ac:dyDescent="0.4">
      <c r="A233" t="s">
        <v>47</v>
      </c>
      <c r="B233" t="s">
        <v>47</v>
      </c>
      <c r="C233">
        <v>2.5</v>
      </c>
      <c r="D233">
        <v>0</v>
      </c>
      <c r="E233">
        <v>6</v>
      </c>
      <c r="F233" t="s">
        <v>45</v>
      </c>
      <c r="G233">
        <v>1</v>
      </c>
      <c r="H233">
        <v>11</v>
      </c>
    </row>
    <row r="234" spans="1:8" x14ac:dyDescent="0.4">
      <c r="A234" t="s">
        <v>47</v>
      </c>
      <c r="B234" t="s">
        <v>47</v>
      </c>
      <c r="C234">
        <v>3</v>
      </c>
      <c r="D234">
        <v>0</v>
      </c>
      <c r="E234">
        <v>2</v>
      </c>
      <c r="F234" t="s">
        <v>45</v>
      </c>
      <c r="G234">
        <v>2</v>
      </c>
      <c r="H234">
        <v>12</v>
      </c>
    </row>
    <row r="235" spans="1:8" x14ac:dyDescent="0.4">
      <c r="A235" t="s">
        <v>47</v>
      </c>
      <c r="B235" t="s">
        <v>47</v>
      </c>
      <c r="C235">
        <v>1.5</v>
      </c>
      <c r="D235">
        <v>0</v>
      </c>
      <c r="E235">
        <v>6</v>
      </c>
      <c r="F235" t="s">
        <v>45</v>
      </c>
      <c r="G235">
        <v>1</v>
      </c>
      <c r="H235">
        <v>17</v>
      </c>
    </row>
    <row r="236" spans="1:8" x14ac:dyDescent="0.4">
      <c r="A236" t="s">
        <v>45</v>
      </c>
      <c r="B236" t="s">
        <v>47</v>
      </c>
      <c r="C236">
        <v>3.5</v>
      </c>
      <c r="D236">
        <v>0</v>
      </c>
      <c r="E236">
        <v>6</v>
      </c>
      <c r="F236" t="s">
        <v>45</v>
      </c>
      <c r="G236">
        <v>1</v>
      </c>
      <c r="H236">
        <v>9</v>
      </c>
    </row>
    <row r="237" spans="1:8" x14ac:dyDescent="0.4">
      <c r="A237" t="s">
        <v>47</v>
      </c>
      <c r="B237" t="s">
        <v>47</v>
      </c>
      <c r="C237">
        <v>1.5</v>
      </c>
      <c r="D237">
        <v>0</v>
      </c>
      <c r="E237">
        <v>0</v>
      </c>
      <c r="F237" t="s">
        <v>45</v>
      </c>
      <c r="G237">
        <v>2</v>
      </c>
      <c r="H237">
        <v>15</v>
      </c>
    </row>
    <row r="238" spans="1:8" x14ac:dyDescent="0.4">
      <c r="A238" t="s">
        <v>45</v>
      </c>
      <c r="B238" t="s">
        <v>47</v>
      </c>
      <c r="C238">
        <v>3.5</v>
      </c>
      <c r="D238">
        <v>3</v>
      </c>
      <c r="E238">
        <v>10</v>
      </c>
      <c r="F238" t="s">
        <v>47</v>
      </c>
      <c r="G238">
        <v>2</v>
      </c>
      <c r="H238">
        <v>8</v>
      </c>
    </row>
    <row r="239" spans="1:8" x14ac:dyDescent="0.4">
      <c r="A239" t="s">
        <v>45</v>
      </c>
      <c r="B239" t="s">
        <v>47</v>
      </c>
      <c r="C239">
        <v>0</v>
      </c>
      <c r="D239">
        <v>1</v>
      </c>
      <c r="E239">
        <v>0</v>
      </c>
      <c r="F239" t="s">
        <v>45</v>
      </c>
      <c r="G239">
        <v>1</v>
      </c>
      <c r="H239">
        <v>10</v>
      </c>
    </row>
    <row r="240" spans="1:8" x14ac:dyDescent="0.4">
      <c r="A240" t="s">
        <v>45</v>
      </c>
      <c r="B240" t="s">
        <v>47</v>
      </c>
      <c r="C240">
        <v>6.75</v>
      </c>
      <c r="D240">
        <v>0</v>
      </c>
      <c r="E240">
        <v>4</v>
      </c>
      <c r="F240" t="s">
        <v>45</v>
      </c>
      <c r="G240">
        <v>2</v>
      </c>
      <c r="H240">
        <v>15</v>
      </c>
    </row>
    <row r="241" spans="1:8" x14ac:dyDescent="0.4">
      <c r="A241" t="s">
        <v>47</v>
      </c>
      <c r="B241" t="s">
        <v>45</v>
      </c>
      <c r="C241">
        <v>0.25</v>
      </c>
      <c r="D241">
        <v>1</v>
      </c>
      <c r="E241">
        <v>5</v>
      </c>
      <c r="F241" t="s">
        <v>45</v>
      </c>
      <c r="G241">
        <v>1</v>
      </c>
      <c r="H241">
        <v>10</v>
      </c>
    </row>
    <row r="242" spans="1:8" x14ac:dyDescent="0.4">
      <c r="A242" t="s">
        <v>45</v>
      </c>
      <c r="B242" t="s">
        <v>47</v>
      </c>
      <c r="C242">
        <v>4.75</v>
      </c>
      <c r="D242">
        <v>0</v>
      </c>
      <c r="E242">
        <v>1</v>
      </c>
      <c r="F242" t="s">
        <v>45</v>
      </c>
      <c r="G242">
        <v>1</v>
      </c>
      <c r="H242">
        <v>11</v>
      </c>
    </row>
    <row r="243" spans="1:8" x14ac:dyDescent="0.4">
      <c r="A243" t="s">
        <v>45</v>
      </c>
      <c r="B243" t="s">
        <v>47</v>
      </c>
      <c r="C243">
        <v>13.25</v>
      </c>
      <c r="D243">
        <v>0</v>
      </c>
      <c r="E243">
        <v>2</v>
      </c>
      <c r="F243" t="s">
        <v>45</v>
      </c>
      <c r="G243">
        <v>1</v>
      </c>
      <c r="H243">
        <v>17</v>
      </c>
    </row>
    <row r="244" spans="1:8" x14ac:dyDescent="0.4">
      <c r="A244" t="s">
        <v>47</v>
      </c>
      <c r="B244" t="s">
        <v>47</v>
      </c>
      <c r="C244">
        <v>3.25</v>
      </c>
      <c r="D244">
        <v>0</v>
      </c>
      <c r="E244">
        <v>2</v>
      </c>
      <c r="F244" t="s">
        <v>45</v>
      </c>
      <c r="G244">
        <v>1</v>
      </c>
      <c r="H244">
        <v>10</v>
      </c>
    </row>
    <row r="245" spans="1:8" x14ac:dyDescent="0.4">
      <c r="A245" t="s">
        <v>45</v>
      </c>
      <c r="B245" t="s">
        <v>47</v>
      </c>
      <c r="C245">
        <v>13.25</v>
      </c>
      <c r="D245">
        <v>0</v>
      </c>
      <c r="E245">
        <v>0</v>
      </c>
      <c r="F245" t="s">
        <v>45</v>
      </c>
      <c r="G245">
        <v>3</v>
      </c>
      <c r="H245">
        <v>12</v>
      </c>
    </row>
    <row r="246" spans="1:8" x14ac:dyDescent="0.4">
      <c r="A246" t="s">
        <v>45</v>
      </c>
      <c r="B246" t="s">
        <v>47</v>
      </c>
      <c r="C246">
        <v>0.5</v>
      </c>
      <c r="D246">
        <v>0</v>
      </c>
      <c r="E246">
        <v>16</v>
      </c>
      <c r="F246" t="s">
        <v>45</v>
      </c>
      <c r="G246">
        <v>4</v>
      </c>
      <c r="H246">
        <v>12</v>
      </c>
    </row>
    <row r="247" spans="1:8" x14ac:dyDescent="0.4">
      <c r="A247" t="s">
        <v>45</v>
      </c>
      <c r="B247" t="s">
        <v>47</v>
      </c>
      <c r="C247">
        <v>4.75</v>
      </c>
      <c r="D247">
        <v>0</v>
      </c>
      <c r="E247">
        <v>1</v>
      </c>
      <c r="F247" t="s">
        <v>45</v>
      </c>
      <c r="G247">
        <v>3</v>
      </c>
      <c r="H247">
        <v>14</v>
      </c>
    </row>
    <row r="248" spans="1:8" x14ac:dyDescent="0.4">
      <c r="A248" t="s">
        <v>47</v>
      </c>
      <c r="B248" t="s">
        <v>47</v>
      </c>
      <c r="C248">
        <v>0.25</v>
      </c>
      <c r="D248">
        <v>0</v>
      </c>
      <c r="E248">
        <v>10</v>
      </c>
      <c r="F248" t="s">
        <v>45</v>
      </c>
      <c r="G248">
        <v>2</v>
      </c>
      <c r="H248">
        <v>11</v>
      </c>
    </row>
    <row r="249" spans="1:8" x14ac:dyDescent="0.4">
      <c r="A249" t="s">
        <v>45</v>
      </c>
      <c r="B249" t="s">
        <v>47</v>
      </c>
      <c r="C249">
        <v>0</v>
      </c>
      <c r="D249">
        <v>0</v>
      </c>
      <c r="E249">
        <v>0</v>
      </c>
      <c r="F249" t="s">
        <v>45</v>
      </c>
      <c r="G249">
        <v>2</v>
      </c>
      <c r="H249">
        <v>15</v>
      </c>
    </row>
    <row r="250" spans="1:8" x14ac:dyDescent="0.4">
      <c r="A250" t="s">
        <v>45</v>
      </c>
      <c r="B250" t="s">
        <v>47</v>
      </c>
      <c r="C250">
        <v>4.5</v>
      </c>
      <c r="D250">
        <v>0</v>
      </c>
      <c r="E250">
        <v>2</v>
      </c>
      <c r="F250" t="s">
        <v>45</v>
      </c>
      <c r="G250">
        <v>2</v>
      </c>
      <c r="H250">
        <v>15</v>
      </c>
    </row>
    <row r="251" spans="1:8" x14ac:dyDescent="0.4">
      <c r="A251" t="s">
        <v>45</v>
      </c>
      <c r="B251" t="s">
        <v>47</v>
      </c>
      <c r="C251">
        <v>3.75</v>
      </c>
      <c r="D251">
        <v>1</v>
      </c>
      <c r="E251">
        <v>9</v>
      </c>
      <c r="F251" t="s">
        <v>45</v>
      </c>
      <c r="G251">
        <v>2</v>
      </c>
      <c r="H251">
        <v>8</v>
      </c>
    </row>
    <row r="252" spans="1:8" x14ac:dyDescent="0.4">
      <c r="A252" t="s">
        <v>47</v>
      </c>
      <c r="B252" t="s">
        <v>45</v>
      </c>
      <c r="C252">
        <v>13.75</v>
      </c>
      <c r="D252">
        <v>0</v>
      </c>
      <c r="E252">
        <v>6</v>
      </c>
      <c r="F252" t="s">
        <v>45</v>
      </c>
      <c r="G252">
        <v>1</v>
      </c>
      <c r="H252">
        <v>11</v>
      </c>
    </row>
    <row r="253" spans="1:8" x14ac:dyDescent="0.4">
      <c r="A253" t="s">
        <v>45</v>
      </c>
      <c r="B253" t="s">
        <v>47</v>
      </c>
      <c r="C253">
        <v>0.25</v>
      </c>
      <c r="D253">
        <v>1</v>
      </c>
      <c r="E253">
        <v>12</v>
      </c>
      <c r="F253" t="s">
        <v>47</v>
      </c>
      <c r="G253">
        <v>5</v>
      </c>
      <c r="H253">
        <v>7</v>
      </c>
    </row>
    <row r="254" spans="1:8" x14ac:dyDescent="0.4">
      <c r="A254" t="s">
        <v>45</v>
      </c>
      <c r="B254" t="s">
        <v>47</v>
      </c>
      <c r="C254">
        <v>13</v>
      </c>
      <c r="D254">
        <v>0</v>
      </c>
      <c r="E254">
        <v>8</v>
      </c>
      <c r="F254" t="s">
        <v>45</v>
      </c>
      <c r="G254">
        <v>2</v>
      </c>
      <c r="H254">
        <v>14</v>
      </c>
    </row>
    <row r="255" spans="1:8" x14ac:dyDescent="0.4">
      <c r="A255" t="s">
        <v>45</v>
      </c>
      <c r="B255" t="s">
        <v>47</v>
      </c>
      <c r="C255">
        <v>3</v>
      </c>
      <c r="D255">
        <v>0</v>
      </c>
      <c r="E255">
        <v>0</v>
      </c>
      <c r="F255" t="s">
        <v>45</v>
      </c>
      <c r="G255">
        <v>1</v>
      </c>
      <c r="H255">
        <v>12</v>
      </c>
    </row>
    <row r="256" spans="1:8" x14ac:dyDescent="0.4">
      <c r="A256" t="s">
        <v>47</v>
      </c>
      <c r="B256" t="s">
        <v>47</v>
      </c>
      <c r="C256">
        <v>0.75</v>
      </c>
      <c r="D256">
        <v>1</v>
      </c>
      <c r="E256">
        <v>14</v>
      </c>
      <c r="F256" t="s">
        <v>47</v>
      </c>
      <c r="G256">
        <v>1</v>
      </c>
      <c r="H256">
        <v>7</v>
      </c>
    </row>
    <row r="257" spans="1:8" x14ac:dyDescent="0.4">
      <c r="A257" t="s">
        <v>45</v>
      </c>
      <c r="B257" t="s">
        <v>47</v>
      </c>
      <c r="C257">
        <v>3</v>
      </c>
      <c r="D257">
        <v>0</v>
      </c>
      <c r="E257">
        <v>0</v>
      </c>
      <c r="F257" t="s">
        <v>45</v>
      </c>
      <c r="G257">
        <v>1</v>
      </c>
      <c r="H257">
        <v>13</v>
      </c>
    </row>
    <row r="258" spans="1:8" x14ac:dyDescent="0.4">
      <c r="A258" t="s">
        <v>47</v>
      </c>
      <c r="B258" t="s">
        <v>47</v>
      </c>
      <c r="C258">
        <v>3.75</v>
      </c>
      <c r="D258">
        <v>0</v>
      </c>
      <c r="E258">
        <v>0</v>
      </c>
      <c r="F258" t="s">
        <v>45</v>
      </c>
      <c r="G258">
        <v>1</v>
      </c>
      <c r="H258">
        <v>16</v>
      </c>
    </row>
    <row r="259" spans="1:8" x14ac:dyDescent="0.4">
      <c r="A259" t="s">
        <v>47</v>
      </c>
      <c r="B259" t="s">
        <v>45</v>
      </c>
      <c r="C259">
        <v>3.75</v>
      </c>
      <c r="D259">
        <v>2</v>
      </c>
      <c r="E259">
        <v>4</v>
      </c>
      <c r="F259" t="s">
        <v>45</v>
      </c>
      <c r="G259">
        <v>2</v>
      </c>
      <c r="H259">
        <v>8</v>
      </c>
    </row>
    <row r="260" spans="1:8" x14ac:dyDescent="0.4">
      <c r="A260" t="s">
        <v>47</v>
      </c>
      <c r="B260" t="s">
        <v>47</v>
      </c>
      <c r="C260">
        <v>8.75</v>
      </c>
      <c r="D260">
        <v>0</v>
      </c>
      <c r="E260">
        <v>0</v>
      </c>
      <c r="F260" t="s">
        <v>45</v>
      </c>
      <c r="G260">
        <v>1</v>
      </c>
      <c r="H260">
        <v>15</v>
      </c>
    </row>
    <row r="261" spans="1:8" x14ac:dyDescent="0.4">
      <c r="A261" t="s">
        <v>45</v>
      </c>
      <c r="B261" t="s">
        <v>47</v>
      </c>
      <c r="C261">
        <v>4</v>
      </c>
      <c r="D261">
        <v>0</v>
      </c>
      <c r="E261">
        <v>2</v>
      </c>
      <c r="F261" t="s">
        <v>45</v>
      </c>
      <c r="G261">
        <v>2</v>
      </c>
      <c r="H261">
        <v>13</v>
      </c>
    </row>
    <row r="262" spans="1:8" x14ac:dyDescent="0.4">
      <c r="A262" t="s">
        <v>45</v>
      </c>
      <c r="B262" t="s">
        <v>47</v>
      </c>
      <c r="C262">
        <v>1.25</v>
      </c>
      <c r="D262">
        <v>0</v>
      </c>
      <c r="E262">
        <v>4</v>
      </c>
      <c r="F262" t="s">
        <v>45</v>
      </c>
      <c r="G262">
        <v>1</v>
      </c>
      <c r="H262">
        <v>14</v>
      </c>
    </row>
    <row r="263" spans="1:8" x14ac:dyDescent="0.4">
      <c r="A263" t="s">
        <v>47</v>
      </c>
      <c r="B263" t="s">
        <v>47</v>
      </c>
      <c r="C263">
        <v>4.5</v>
      </c>
      <c r="D263">
        <v>0</v>
      </c>
      <c r="E263">
        <v>2</v>
      </c>
      <c r="F263" t="s">
        <v>45</v>
      </c>
      <c r="G263">
        <v>2</v>
      </c>
      <c r="H263">
        <v>15</v>
      </c>
    </row>
    <row r="264" spans="1:8" x14ac:dyDescent="0.4">
      <c r="A264" t="s">
        <v>47</v>
      </c>
      <c r="B264" t="s">
        <v>47</v>
      </c>
      <c r="C264">
        <v>3.5</v>
      </c>
      <c r="D264">
        <v>0</v>
      </c>
      <c r="E264">
        <v>0</v>
      </c>
      <c r="F264" t="s">
        <v>47</v>
      </c>
      <c r="G264">
        <v>3</v>
      </c>
      <c r="H264">
        <v>11</v>
      </c>
    </row>
    <row r="265" spans="1:8" x14ac:dyDescent="0.4">
      <c r="A265" t="s">
        <v>45</v>
      </c>
      <c r="B265" t="s">
        <v>47</v>
      </c>
      <c r="C265">
        <v>2</v>
      </c>
      <c r="D265">
        <v>0</v>
      </c>
      <c r="E265">
        <v>4</v>
      </c>
      <c r="F265" t="s">
        <v>45</v>
      </c>
      <c r="G265">
        <v>1</v>
      </c>
      <c r="H265">
        <v>13</v>
      </c>
    </row>
    <row r="266" spans="1:8" x14ac:dyDescent="0.4">
      <c r="A266" t="s">
        <v>47</v>
      </c>
      <c r="B266" t="s">
        <v>45</v>
      </c>
      <c r="C266">
        <v>4.75</v>
      </c>
      <c r="D266">
        <v>0</v>
      </c>
      <c r="E266">
        <v>4</v>
      </c>
      <c r="F266" t="s">
        <v>45</v>
      </c>
      <c r="G266">
        <v>1</v>
      </c>
      <c r="H266">
        <v>11</v>
      </c>
    </row>
    <row r="267" spans="1:8" x14ac:dyDescent="0.4">
      <c r="A267" t="s">
        <v>45</v>
      </c>
      <c r="B267" t="s">
        <v>47</v>
      </c>
      <c r="C267">
        <v>4</v>
      </c>
      <c r="D267">
        <v>0</v>
      </c>
      <c r="E267">
        <v>16</v>
      </c>
      <c r="F267" t="s">
        <v>45</v>
      </c>
      <c r="G267">
        <v>4</v>
      </c>
      <c r="H267">
        <v>12</v>
      </c>
    </row>
    <row r="268" spans="1:8" x14ac:dyDescent="0.4">
      <c r="A268" t="s">
        <v>45</v>
      </c>
      <c r="B268" t="s">
        <v>47</v>
      </c>
      <c r="C268">
        <v>3</v>
      </c>
      <c r="D268">
        <v>0</v>
      </c>
      <c r="E268">
        <v>0</v>
      </c>
      <c r="F268" t="s">
        <v>45</v>
      </c>
      <c r="G268">
        <v>1</v>
      </c>
      <c r="H268">
        <v>16</v>
      </c>
    </row>
    <row r="269" spans="1:8" x14ac:dyDescent="0.4">
      <c r="A269" t="s">
        <v>47</v>
      </c>
      <c r="B269" t="s">
        <v>47</v>
      </c>
      <c r="C269">
        <v>0.75</v>
      </c>
      <c r="D269">
        <v>0</v>
      </c>
      <c r="E269">
        <v>1</v>
      </c>
      <c r="F269" t="s">
        <v>45</v>
      </c>
      <c r="G269">
        <v>1</v>
      </c>
      <c r="H269">
        <v>13</v>
      </c>
    </row>
    <row r="270" spans="1:8" x14ac:dyDescent="0.4">
      <c r="A270" t="s">
        <v>47</v>
      </c>
      <c r="B270" t="s">
        <v>47</v>
      </c>
      <c r="C270">
        <v>0.25</v>
      </c>
      <c r="D270">
        <v>1</v>
      </c>
      <c r="E270">
        <v>0</v>
      </c>
      <c r="F270" t="s">
        <v>45</v>
      </c>
      <c r="G270">
        <v>1</v>
      </c>
      <c r="H270">
        <v>9</v>
      </c>
    </row>
    <row r="271" spans="1:8" x14ac:dyDescent="0.4">
      <c r="A271" t="s">
        <v>45</v>
      </c>
      <c r="B271" t="s">
        <v>47</v>
      </c>
      <c r="C271">
        <v>1.75</v>
      </c>
      <c r="D271">
        <v>3</v>
      </c>
      <c r="E271">
        <v>10</v>
      </c>
      <c r="F271" t="s">
        <v>47</v>
      </c>
      <c r="G271">
        <v>1</v>
      </c>
      <c r="H271">
        <v>8</v>
      </c>
    </row>
    <row r="272" spans="1:8" x14ac:dyDescent="0.4">
      <c r="A272" t="s">
        <v>47</v>
      </c>
      <c r="B272" t="s">
        <v>45</v>
      </c>
      <c r="C272">
        <v>0</v>
      </c>
      <c r="D272">
        <v>0</v>
      </c>
      <c r="E272">
        <v>0</v>
      </c>
      <c r="F272" t="s">
        <v>45</v>
      </c>
      <c r="G272">
        <v>1</v>
      </c>
      <c r="H272">
        <v>13</v>
      </c>
    </row>
    <row r="273" spans="1:8" x14ac:dyDescent="0.4">
      <c r="A273" t="s">
        <v>45</v>
      </c>
      <c r="B273" t="s">
        <v>47</v>
      </c>
      <c r="C273">
        <v>0.5</v>
      </c>
      <c r="D273">
        <v>0</v>
      </c>
      <c r="E273">
        <v>2</v>
      </c>
      <c r="F273" t="s">
        <v>45</v>
      </c>
      <c r="G273">
        <v>4</v>
      </c>
      <c r="H273">
        <v>11</v>
      </c>
    </row>
    <row r="274" spans="1:8" x14ac:dyDescent="0.4">
      <c r="A274" t="s">
        <v>47</v>
      </c>
      <c r="B274" t="s">
        <v>47</v>
      </c>
      <c r="C274">
        <v>1.25</v>
      </c>
      <c r="D274">
        <v>1</v>
      </c>
      <c r="E274">
        <v>4</v>
      </c>
      <c r="F274" t="s">
        <v>45</v>
      </c>
      <c r="G274">
        <v>1</v>
      </c>
      <c r="H274">
        <v>8</v>
      </c>
    </row>
    <row r="275" spans="1:8" x14ac:dyDescent="0.4">
      <c r="A275" t="s">
        <v>45</v>
      </c>
      <c r="B275" t="s">
        <v>47</v>
      </c>
      <c r="C275">
        <v>5</v>
      </c>
      <c r="D275">
        <v>1</v>
      </c>
      <c r="E275">
        <v>0</v>
      </c>
      <c r="F275" t="s">
        <v>45</v>
      </c>
      <c r="G275">
        <v>1</v>
      </c>
      <c r="H275">
        <v>11</v>
      </c>
    </row>
    <row r="276" spans="1:8" x14ac:dyDescent="0.4">
      <c r="A276" t="s">
        <v>47</v>
      </c>
      <c r="B276" t="s">
        <v>45</v>
      </c>
      <c r="C276">
        <v>1</v>
      </c>
      <c r="D276">
        <v>0</v>
      </c>
      <c r="E276">
        <v>0</v>
      </c>
      <c r="F276" t="s">
        <v>45</v>
      </c>
      <c r="G276">
        <v>1</v>
      </c>
      <c r="H276">
        <v>10</v>
      </c>
    </row>
    <row r="277" spans="1:8" x14ac:dyDescent="0.4">
      <c r="A277" t="s">
        <v>45</v>
      </c>
      <c r="B277" t="s">
        <v>47</v>
      </c>
      <c r="C277">
        <v>9.25</v>
      </c>
      <c r="D277">
        <v>0</v>
      </c>
      <c r="E277">
        <v>4</v>
      </c>
      <c r="F277" t="s">
        <v>45</v>
      </c>
      <c r="G277">
        <v>1</v>
      </c>
      <c r="H277">
        <v>14</v>
      </c>
    </row>
    <row r="278" spans="1:8" x14ac:dyDescent="0.4">
      <c r="A278" t="s">
        <v>47</v>
      </c>
      <c r="B278" t="s">
        <v>47</v>
      </c>
      <c r="C278">
        <v>3.25</v>
      </c>
      <c r="D278">
        <v>0</v>
      </c>
      <c r="E278">
        <v>2</v>
      </c>
      <c r="F278" t="s">
        <v>45</v>
      </c>
      <c r="G278">
        <v>1</v>
      </c>
      <c r="H278">
        <v>16</v>
      </c>
    </row>
    <row r="279" spans="1:8" x14ac:dyDescent="0.4">
      <c r="A279" t="s">
        <v>47</v>
      </c>
      <c r="B279" t="s">
        <v>47</v>
      </c>
      <c r="C279">
        <v>1.5</v>
      </c>
      <c r="D279">
        <v>0</v>
      </c>
      <c r="E279">
        <v>0</v>
      </c>
      <c r="F279" t="s">
        <v>47</v>
      </c>
      <c r="G279">
        <v>1</v>
      </c>
      <c r="H279">
        <v>9</v>
      </c>
    </row>
    <row r="280" spans="1:8" x14ac:dyDescent="0.4">
      <c r="A280" t="s">
        <v>47</v>
      </c>
      <c r="B280" t="s">
        <v>47</v>
      </c>
      <c r="C280">
        <v>1</v>
      </c>
      <c r="D280">
        <v>1</v>
      </c>
      <c r="E280">
        <v>4</v>
      </c>
      <c r="F280" t="s">
        <v>47</v>
      </c>
      <c r="G280">
        <v>1</v>
      </c>
      <c r="H280">
        <v>10</v>
      </c>
    </row>
    <row r="281" spans="1:8" x14ac:dyDescent="0.4">
      <c r="A281" t="s">
        <v>45</v>
      </c>
      <c r="B281" t="s">
        <v>47</v>
      </c>
      <c r="C281">
        <v>8.25</v>
      </c>
      <c r="D281">
        <v>0</v>
      </c>
      <c r="E281">
        <v>10</v>
      </c>
      <c r="F281" t="s">
        <v>45</v>
      </c>
      <c r="G281">
        <v>1</v>
      </c>
      <c r="H281">
        <v>14</v>
      </c>
    </row>
    <row r="282" spans="1:8" x14ac:dyDescent="0.4">
      <c r="A282" t="s">
        <v>45</v>
      </c>
      <c r="B282" t="s">
        <v>47</v>
      </c>
      <c r="C282">
        <v>4.25</v>
      </c>
      <c r="D282">
        <v>0</v>
      </c>
      <c r="E282">
        <v>2</v>
      </c>
      <c r="F282" t="s">
        <v>45</v>
      </c>
      <c r="G282">
        <v>1</v>
      </c>
      <c r="H282">
        <v>16</v>
      </c>
    </row>
    <row r="283" spans="1:8" x14ac:dyDescent="0.4">
      <c r="A283" t="s">
        <v>47</v>
      </c>
      <c r="B283" t="s">
        <v>47</v>
      </c>
      <c r="C283">
        <v>0.75</v>
      </c>
      <c r="D283">
        <v>0</v>
      </c>
      <c r="E283">
        <v>7</v>
      </c>
      <c r="F283" t="s">
        <v>45</v>
      </c>
      <c r="G283">
        <v>1</v>
      </c>
      <c r="H283">
        <v>16</v>
      </c>
    </row>
    <row r="284" spans="1:8" x14ac:dyDescent="0.4">
      <c r="A284" t="s">
        <v>47</v>
      </c>
      <c r="B284" t="s">
        <v>47</v>
      </c>
      <c r="C284">
        <v>7</v>
      </c>
      <c r="D284">
        <v>1</v>
      </c>
      <c r="E284">
        <v>0</v>
      </c>
      <c r="F284" t="s">
        <v>45</v>
      </c>
      <c r="G284">
        <v>1</v>
      </c>
      <c r="H284">
        <v>8</v>
      </c>
    </row>
    <row r="285" spans="1:8" x14ac:dyDescent="0.4">
      <c r="A285" t="s">
        <v>47</v>
      </c>
      <c r="B285" t="s">
        <v>47</v>
      </c>
      <c r="C285">
        <v>6.75</v>
      </c>
      <c r="D285">
        <v>0</v>
      </c>
      <c r="E285">
        <v>10</v>
      </c>
      <c r="F285" t="s">
        <v>45</v>
      </c>
      <c r="G285">
        <v>1</v>
      </c>
      <c r="H285">
        <v>11</v>
      </c>
    </row>
    <row r="286" spans="1:8" x14ac:dyDescent="0.4">
      <c r="A286" t="s">
        <v>47</v>
      </c>
      <c r="B286" t="s">
        <v>47</v>
      </c>
      <c r="C286">
        <v>7.25</v>
      </c>
      <c r="D286">
        <v>0</v>
      </c>
      <c r="E286">
        <v>0</v>
      </c>
      <c r="F286" t="s">
        <v>45</v>
      </c>
      <c r="G286">
        <v>1</v>
      </c>
      <c r="H286">
        <v>14</v>
      </c>
    </row>
    <row r="287" spans="1:8" x14ac:dyDescent="0.4">
      <c r="A287" t="s">
        <v>47</v>
      </c>
      <c r="B287" t="s">
        <v>47</v>
      </c>
      <c r="C287">
        <v>2.5</v>
      </c>
      <c r="D287">
        <v>2</v>
      </c>
      <c r="E287">
        <v>0</v>
      </c>
      <c r="F287" t="s">
        <v>45</v>
      </c>
      <c r="G287">
        <v>2</v>
      </c>
      <c r="H287">
        <v>10</v>
      </c>
    </row>
    <row r="288" spans="1:8" x14ac:dyDescent="0.4">
      <c r="A288" t="s">
        <v>45</v>
      </c>
      <c r="B288" t="s">
        <v>47</v>
      </c>
      <c r="C288">
        <v>1</v>
      </c>
      <c r="D288">
        <v>0</v>
      </c>
      <c r="E288">
        <v>2</v>
      </c>
      <c r="F288" t="s">
        <v>47</v>
      </c>
      <c r="G288">
        <v>1</v>
      </c>
      <c r="H288">
        <v>11</v>
      </c>
    </row>
    <row r="289" spans="1:8" x14ac:dyDescent="0.4">
      <c r="A289" t="s">
        <v>47</v>
      </c>
      <c r="B289" t="s">
        <v>47</v>
      </c>
      <c r="C289">
        <v>0.5</v>
      </c>
      <c r="D289">
        <v>0</v>
      </c>
      <c r="E289">
        <v>4</v>
      </c>
      <c r="F289" t="s">
        <v>45</v>
      </c>
      <c r="G289">
        <v>3</v>
      </c>
      <c r="H289">
        <v>11</v>
      </c>
    </row>
    <row r="290" spans="1:8" x14ac:dyDescent="0.4">
      <c r="A290" t="s">
        <v>47</v>
      </c>
      <c r="B290" t="s">
        <v>47</v>
      </c>
      <c r="C290">
        <v>2.5</v>
      </c>
      <c r="D290">
        <v>0</v>
      </c>
      <c r="E290">
        <v>0</v>
      </c>
      <c r="F290" t="s">
        <v>45</v>
      </c>
      <c r="G290">
        <v>1</v>
      </c>
      <c r="H290">
        <v>14</v>
      </c>
    </row>
    <row r="291" spans="1:8" x14ac:dyDescent="0.4">
      <c r="A291" t="s">
        <v>45</v>
      </c>
      <c r="B291" t="s">
        <v>47</v>
      </c>
      <c r="C291">
        <v>0</v>
      </c>
      <c r="D291">
        <v>0</v>
      </c>
      <c r="E291">
        <v>5</v>
      </c>
      <c r="F291" t="s">
        <v>45</v>
      </c>
      <c r="G291">
        <v>1</v>
      </c>
      <c r="H291">
        <v>14</v>
      </c>
    </row>
    <row r="292" spans="1:8" x14ac:dyDescent="0.4">
      <c r="A292" t="s">
        <v>45</v>
      </c>
      <c r="B292" t="s">
        <v>45</v>
      </c>
      <c r="C292">
        <v>4.25</v>
      </c>
      <c r="D292">
        <v>0</v>
      </c>
      <c r="E292">
        <v>2</v>
      </c>
      <c r="F292" t="s">
        <v>45</v>
      </c>
      <c r="G292">
        <v>1</v>
      </c>
      <c r="H292">
        <v>13</v>
      </c>
    </row>
    <row r="293" spans="1:8" x14ac:dyDescent="0.4">
      <c r="A293" t="s">
        <v>45</v>
      </c>
      <c r="B293" t="s">
        <v>47</v>
      </c>
      <c r="C293">
        <v>3.75</v>
      </c>
      <c r="D293">
        <v>0</v>
      </c>
      <c r="E293">
        <v>8</v>
      </c>
      <c r="F293" t="s">
        <v>45</v>
      </c>
      <c r="G293">
        <v>2</v>
      </c>
      <c r="H293">
        <v>12</v>
      </c>
    </row>
    <row r="294" spans="1:8" x14ac:dyDescent="0.4">
      <c r="A294" t="s">
        <v>47</v>
      </c>
      <c r="B294" t="s">
        <v>45</v>
      </c>
      <c r="C294">
        <v>4</v>
      </c>
      <c r="D294">
        <v>0</v>
      </c>
      <c r="E294">
        <v>16</v>
      </c>
      <c r="F294" t="s">
        <v>45</v>
      </c>
      <c r="G294">
        <v>1</v>
      </c>
      <c r="H294">
        <v>10</v>
      </c>
    </row>
    <row r="295" spans="1:8" x14ac:dyDescent="0.4">
      <c r="A295" t="s">
        <v>47</v>
      </c>
      <c r="B295" t="s">
        <v>47</v>
      </c>
      <c r="C295">
        <v>4.25</v>
      </c>
      <c r="D295">
        <v>0</v>
      </c>
      <c r="E295">
        <v>0</v>
      </c>
      <c r="F295" t="s">
        <v>45</v>
      </c>
      <c r="G295">
        <v>1</v>
      </c>
      <c r="H295">
        <v>14</v>
      </c>
    </row>
    <row r="296" spans="1:8" x14ac:dyDescent="0.4">
      <c r="A296" t="s">
        <v>47</v>
      </c>
      <c r="B296" t="s">
        <v>47</v>
      </c>
      <c r="C296">
        <v>1.5</v>
      </c>
      <c r="D296">
        <v>0</v>
      </c>
      <c r="E296">
        <v>0</v>
      </c>
      <c r="F296" t="s">
        <v>45</v>
      </c>
      <c r="G296">
        <v>1</v>
      </c>
      <c r="H296">
        <v>12</v>
      </c>
    </row>
    <row r="297" spans="1:8" x14ac:dyDescent="0.4">
      <c r="A297" t="s">
        <v>45</v>
      </c>
      <c r="B297" t="s">
        <v>47</v>
      </c>
      <c r="C297">
        <v>1.75</v>
      </c>
      <c r="D297">
        <v>0</v>
      </c>
      <c r="E297">
        <v>11</v>
      </c>
      <c r="F297" t="s">
        <v>45</v>
      </c>
      <c r="G297">
        <v>3</v>
      </c>
      <c r="H297">
        <v>11</v>
      </c>
    </row>
    <row r="298" spans="1:8" x14ac:dyDescent="0.4">
      <c r="A298" t="s">
        <v>47</v>
      </c>
      <c r="B298" t="s">
        <v>47</v>
      </c>
      <c r="C298">
        <v>6</v>
      </c>
      <c r="D298">
        <v>0</v>
      </c>
      <c r="E298">
        <v>1</v>
      </c>
      <c r="F298" t="s">
        <v>45</v>
      </c>
      <c r="G298">
        <v>2</v>
      </c>
      <c r="H298">
        <v>12</v>
      </c>
    </row>
    <row r="299" spans="1:8" x14ac:dyDescent="0.4">
      <c r="A299" t="s">
        <v>47</v>
      </c>
      <c r="B299" t="s">
        <v>47</v>
      </c>
      <c r="C299">
        <v>9.25</v>
      </c>
      <c r="D299">
        <v>0</v>
      </c>
      <c r="E299">
        <v>2</v>
      </c>
      <c r="F299" t="s">
        <v>45</v>
      </c>
      <c r="G299">
        <v>2</v>
      </c>
      <c r="H299">
        <v>11</v>
      </c>
    </row>
    <row r="300" spans="1:8" x14ac:dyDescent="0.4">
      <c r="A300" t="s">
        <v>47</v>
      </c>
      <c r="B300" t="s">
        <v>47</v>
      </c>
      <c r="C300">
        <v>4.25</v>
      </c>
      <c r="D300">
        <v>0</v>
      </c>
      <c r="E300">
        <v>0</v>
      </c>
      <c r="F300" t="s">
        <v>45</v>
      </c>
      <c r="G300">
        <v>3</v>
      </c>
      <c r="H300">
        <v>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92892-4DB1-41BF-A51F-1508A10DD24C}">
  <dimension ref="A6:B169"/>
  <sheetViews>
    <sheetView topLeftCell="A97" zoomScale="88" zoomScaleNormal="80" workbookViewId="0">
      <selection activeCell="H136" sqref="H136"/>
    </sheetView>
  </sheetViews>
  <sheetFormatPr defaultColWidth="8.83203125" defaultRowHeight="16" x14ac:dyDescent="0.4"/>
  <cols>
    <col min="1" max="2" width="22" customWidth="1"/>
    <col min="3" max="3" width="10.5" bestFit="1" customWidth="1"/>
    <col min="4" max="4" width="6" customWidth="1"/>
    <col min="5" max="5" width="6.33203125" customWidth="1"/>
    <col min="6" max="6" width="8" customWidth="1"/>
    <col min="7" max="7" width="9" customWidth="1"/>
    <col min="8" max="8" width="8" customWidth="1"/>
    <col min="9" max="16" width="3" bestFit="1" customWidth="1"/>
    <col min="17" max="17" width="10.5" bestFit="1" customWidth="1"/>
  </cols>
  <sheetData>
    <row r="6" spans="1:2" x14ac:dyDescent="0.4">
      <c r="A6" s="2" t="s">
        <v>705</v>
      </c>
      <c r="B6" t="s">
        <v>706</v>
      </c>
    </row>
    <row r="7" spans="1:2" x14ac:dyDescent="0.4">
      <c r="A7" s="3" t="s">
        <v>47</v>
      </c>
      <c r="B7">
        <v>149</v>
      </c>
    </row>
    <row r="8" spans="1:2" x14ac:dyDescent="0.4">
      <c r="A8" s="3" t="s">
        <v>45</v>
      </c>
      <c r="B8">
        <v>150</v>
      </c>
    </row>
    <row r="9" spans="1:2" x14ac:dyDescent="0.4">
      <c r="A9" s="3" t="s">
        <v>707</v>
      </c>
      <c r="B9">
        <v>299</v>
      </c>
    </row>
    <row r="23" spans="1:2" x14ac:dyDescent="0.4">
      <c r="A23" s="2" t="s">
        <v>705</v>
      </c>
      <c r="B23" t="s">
        <v>708</v>
      </c>
    </row>
    <row r="24" spans="1:2" x14ac:dyDescent="0.4">
      <c r="A24" s="3" t="s">
        <v>47</v>
      </c>
      <c r="B24">
        <v>264</v>
      </c>
    </row>
    <row r="25" spans="1:2" x14ac:dyDescent="0.4">
      <c r="A25" s="3" t="s">
        <v>45</v>
      </c>
      <c r="B25">
        <v>35</v>
      </c>
    </row>
    <row r="26" spans="1:2" x14ac:dyDescent="0.4">
      <c r="A26" s="3" t="s">
        <v>707</v>
      </c>
      <c r="B26">
        <v>299</v>
      </c>
    </row>
    <row r="37" spans="1:2" x14ac:dyDescent="0.4">
      <c r="A37" s="2" t="s">
        <v>34</v>
      </c>
      <c r="B37" t="s">
        <v>709</v>
      </c>
    </row>
    <row r="38" spans="1:2" x14ac:dyDescent="0.4">
      <c r="A38" t="s">
        <v>47</v>
      </c>
      <c r="B38">
        <v>30</v>
      </c>
    </row>
    <row r="39" spans="1:2" x14ac:dyDescent="0.4">
      <c r="A39" t="s">
        <v>45</v>
      </c>
      <c r="B39">
        <v>269</v>
      </c>
    </row>
    <row r="40" spans="1:2" x14ac:dyDescent="0.4">
      <c r="A40" t="s">
        <v>707</v>
      </c>
      <c r="B40">
        <v>299</v>
      </c>
    </row>
    <row r="50" spans="1:2" ht="16.5" thickBot="1" x14ac:dyDescent="0.45"/>
    <row r="51" spans="1:2" x14ac:dyDescent="0.4">
      <c r="A51" s="5" t="s">
        <v>38</v>
      </c>
      <c r="B51" s="5"/>
    </row>
    <row r="53" spans="1:2" x14ac:dyDescent="0.4">
      <c r="A53" t="s">
        <v>710</v>
      </c>
      <c r="B53">
        <v>1.7190635451505016</v>
      </c>
    </row>
    <row r="54" spans="1:2" x14ac:dyDescent="0.4">
      <c r="A54" t="s">
        <v>711</v>
      </c>
      <c r="B54">
        <v>5.7481244645836059E-2</v>
      </c>
    </row>
    <row r="55" spans="1:2" x14ac:dyDescent="0.4">
      <c r="A55" t="s">
        <v>712</v>
      </c>
      <c r="B55">
        <v>1</v>
      </c>
    </row>
    <row r="56" spans="1:2" x14ac:dyDescent="0.4">
      <c r="A56" t="s">
        <v>713</v>
      </c>
      <c r="B56">
        <v>1</v>
      </c>
    </row>
    <row r="57" spans="1:2" x14ac:dyDescent="0.4">
      <c r="A57" t="s">
        <v>714</v>
      </c>
      <c r="B57">
        <v>0.99394363639207561</v>
      </c>
    </row>
    <row r="58" spans="1:2" x14ac:dyDescent="0.4">
      <c r="A58" t="s">
        <v>715</v>
      </c>
      <c r="B58">
        <v>0.98792395232430252</v>
      </c>
    </row>
    <row r="59" spans="1:2" x14ac:dyDescent="0.4">
      <c r="A59" t="s">
        <v>716</v>
      </c>
      <c r="B59">
        <v>1.7635967249497404</v>
      </c>
    </row>
    <row r="60" spans="1:2" x14ac:dyDescent="0.4">
      <c r="A60" t="s">
        <v>717</v>
      </c>
      <c r="B60">
        <v>1.4750994975626361</v>
      </c>
    </row>
    <row r="61" spans="1:2" x14ac:dyDescent="0.4">
      <c r="A61" t="s">
        <v>718</v>
      </c>
      <c r="B61">
        <v>4</v>
      </c>
    </row>
    <row r="62" spans="1:2" x14ac:dyDescent="0.4">
      <c r="A62" t="s">
        <v>719</v>
      </c>
      <c r="B62">
        <v>1</v>
      </c>
    </row>
    <row r="63" spans="1:2" x14ac:dyDescent="0.4">
      <c r="A63" t="s">
        <v>720</v>
      </c>
      <c r="B63">
        <v>5</v>
      </c>
    </row>
    <row r="64" spans="1:2" x14ac:dyDescent="0.4">
      <c r="A64" t="s">
        <v>721</v>
      </c>
      <c r="B64">
        <v>514</v>
      </c>
    </row>
    <row r="65" spans="1:2" x14ac:dyDescent="0.4">
      <c r="A65" t="s">
        <v>722</v>
      </c>
      <c r="B65">
        <v>299</v>
      </c>
    </row>
    <row r="66" spans="1:2" ht="16.5" thickBot="1" x14ac:dyDescent="0.45">
      <c r="A66" s="4" t="s">
        <v>723</v>
      </c>
      <c r="B66" s="4">
        <v>0.11312058940230846</v>
      </c>
    </row>
    <row r="73" spans="1:2" x14ac:dyDescent="0.4">
      <c r="A73" s="2" t="s">
        <v>30</v>
      </c>
      <c r="B73" t="s">
        <v>724</v>
      </c>
    </row>
    <row r="74" spans="1:2" x14ac:dyDescent="0.4">
      <c r="A74">
        <v>0</v>
      </c>
      <c r="B74">
        <v>254</v>
      </c>
    </row>
    <row r="75" spans="1:2" x14ac:dyDescent="0.4">
      <c r="A75">
        <v>1</v>
      </c>
      <c r="B75">
        <v>32</v>
      </c>
    </row>
    <row r="76" spans="1:2" x14ac:dyDescent="0.4">
      <c r="A76">
        <v>2</v>
      </c>
      <c r="B76">
        <v>7</v>
      </c>
    </row>
    <row r="77" spans="1:2" x14ac:dyDescent="0.4">
      <c r="A77">
        <v>3</v>
      </c>
      <c r="B77">
        <v>6</v>
      </c>
    </row>
    <row r="78" spans="1:2" x14ac:dyDescent="0.4">
      <c r="A78" t="s">
        <v>707</v>
      </c>
      <c r="B78">
        <v>299</v>
      </c>
    </row>
    <row r="79" spans="1:2" x14ac:dyDescent="0.4">
      <c r="A79" t="s">
        <v>711</v>
      </c>
      <c r="B79">
        <f>STDEV('Edited Data'!D2:D300)/SQRT(COUNT('Edited Data'!D2:D300))</f>
        <v>3.3551266026177688E-2</v>
      </c>
    </row>
    <row r="80" spans="1:2" x14ac:dyDescent="0.4">
      <c r="A80" t="s">
        <v>710</v>
      </c>
      <c r="B80">
        <f xml:space="preserve"> MEDIAN('Edited Data'!D2:D300)</f>
        <v>0</v>
      </c>
    </row>
    <row r="81" spans="1:2" x14ac:dyDescent="0.4">
      <c r="A81" t="s">
        <v>714</v>
      </c>
      <c r="B81">
        <v>0.58015562399999998</v>
      </c>
    </row>
    <row r="82" spans="1:2" x14ac:dyDescent="0.4">
      <c r="A82" t="s">
        <v>720</v>
      </c>
      <c r="B82">
        <f>MAX('Edited Data'!D2:D300)</f>
        <v>3</v>
      </c>
    </row>
    <row r="83" spans="1:2" x14ac:dyDescent="0.4">
      <c r="A83" t="s">
        <v>719</v>
      </c>
      <c r="B83">
        <f>MIN('Edited Data'!D2:D300)</f>
        <v>0</v>
      </c>
    </row>
    <row r="84" spans="1:2" x14ac:dyDescent="0.4">
      <c r="A84" t="s">
        <v>712</v>
      </c>
      <c r="B84">
        <f>_xlfn.MODE.SNGL('Edited Data'!D2:D300)</f>
        <v>0</v>
      </c>
    </row>
    <row r="85" spans="1:2" x14ac:dyDescent="0.4">
      <c r="A85" t="s">
        <v>713</v>
      </c>
      <c r="B85">
        <f>MODE('Edited Data'!D2:D300)</f>
        <v>0</v>
      </c>
    </row>
    <row r="86" spans="1:2" x14ac:dyDescent="0.4">
      <c r="A86" t="s">
        <v>721</v>
      </c>
      <c r="B86">
        <f>SUM('Edited Data'!D2:D300)</f>
        <v>64</v>
      </c>
    </row>
    <row r="87" spans="1:2" x14ac:dyDescent="0.4">
      <c r="A87" t="s">
        <v>722</v>
      </c>
      <c r="B87">
        <v>299</v>
      </c>
    </row>
    <row r="88" spans="1:2" x14ac:dyDescent="0.4">
      <c r="A88" t="s">
        <v>715</v>
      </c>
      <c r="B88">
        <f>_xlfn.VAR.S('Edited Data'!D2:D300)</f>
        <v>0.33658054813584432</v>
      </c>
    </row>
    <row r="89" spans="1:2" x14ac:dyDescent="0.4">
      <c r="A89" t="s">
        <v>716</v>
      </c>
      <c r="B89">
        <f>KURT('Edited Data'!D2:D300)</f>
        <v>10.431525020663802</v>
      </c>
    </row>
    <row r="90" spans="1:2" x14ac:dyDescent="0.4">
      <c r="A90" t="s">
        <v>717</v>
      </c>
      <c r="B90">
        <f>SKEW('Edited Data'!D2:D300)</f>
        <v>3.1601627853959458</v>
      </c>
    </row>
    <row r="91" spans="1:2" x14ac:dyDescent="0.4">
      <c r="A91" t="s">
        <v>718</v>
      </c>
      <c r="B91">
        <v>3</v>
      </c>
    </row>
    <row r="100" spans="1:2" x14ac:dyDescent="0.4">
      <c r="A100" s="2" t="s">
        <v>32</v>
      </c>
      <c r="B100" t="s">
        <v>725</v>
      </c>
    </row>
    <row r="101" spans="1:2" x14ac:dyDescent="0.4">
      <c r="A101">
        <v>0</v>
      </c>
      <c r="B101">
        <v>118</v>
      </c>
    </row>
    <row r="102" spans="1:2" x14ac:dyDescent="0.4">
      <c r="A102">
        <v>4</v>
      </c>
      <c r="B102">
        <v>47</v>
      </c>
    </row>
    <row r="103" spans="1:2" x14ac:dyDescent="0.4">
      <c r="A103">
        <v>2</v>
      </c>
      <c r="B103">
        <v>42</v>
      </c>
    </row>
    <row r="104" spans="1:2" x14ac:dyDescent="0.4">
      <c r="A104">
        <v>6</v>
      </c>
      <c r="B104">
        <v>23</v>
      </c>
    </row>
    <row r="105" spans="1:2" x14ac:dyDescent="0.4">
      <c r="A105">
        <v>8</v>
      </c>
      <c r="B105">
        <v>19</v>
      </c>
    </row>
    <row r="106" spans="1:2" x14ac:dyDescent="0.4">
      <c r="A106">
        <v>10</v>
      </c>
      <c r="B106">
        <v>13</v>
      </c>
    </row>
    <row r="107" spans="1:2" x14ac:dyDescent="0.4">
      <c r="A107">
        <v>1</v>
      </c>
      <c r="B107">
        <v>6</v>
      </c>
    </row>
    <row r="108" spans="1:2" x14ac:dyDescent="0.4">
      <c r="A108">
        <v>16</v>
      </c>
      <c r="B108">
        <v>6</v>
      </c>
    </row>
    <row r="109" spans="1:2" x14ac:dyDescent="0.4">
      <c r="A109">
        <v>5</v>
      </c>
      <c r="B109">
        <v>5</v>
      </c>
    </row>
    <row r="110" spans="1:2" x14ac:dyDescent="0.4">
      <c r="A110">
        <v>14</v>
      </c>
      <c r="B110">
        <v>4</v>
      </c>
    </row>
    <row r="111" spans="1:2" x14ac:dyDescent="0.4">
      <c r="A111">
        <v>12</v>
      </c>
      <c r="B111">
        <v>4</v>
      </c>
    </row>
    <row r="112" spans="1:2" x14ac:dyDescent="0.4">
      <c r="A112">
        <v>3</v>
      </c>
      <c r="B112">
        <v>3</v>
      </c>
    </row>
    <row r="113" spans="1:2" x14ac:dyDescent="0.4">
      <c r="A113">
        <v>11</v>
      </c>
      <c r="B113">
        <v>3</v>
      </c>
    </row>
    <row r="114" spans="1:2" x14ac:dyDescent="0.4">
      <c r="A114">
        <v>7</v>
      </c>
      <c r="B114">
        <v>2</v>
      </c>
    </row>
    <row r="115" spans="1:2" x14ac:dyDescent="0.4">
      <c r="A115">
        <v>9</v>
      </c>
      <c r="B115">
        <v>2</v>
      </c>
    </row>
    <row r="116" spans="1:2" x14ac:dyDescent="0.4">
      <c r="A116">
        <v>26</v>
      </c>
      <c r="B116">
        <v>1</v>
      </c>
    </row>
    <row r="117" spans="1:2" x14ac:dyDescent="0.4">
      <c r="A117">
        <v>15</v>
      </c>
      <c r="B117">
        <v>1</v>
      </c>
    </row>
    <row r="118" spans="1:2" x14ac:dyDescent="0.4">
      <c r="A118" t="s">
        <v>707</v>
      </c>
      <c r="B118">
        <v>299</v>
      </c>
    </row>
    <row r="119" spans="1:2" x14ac:dyDescent="0.4">
      <c r="A119" t="s">
        <v>711</v>
      </c>
      <c r="B119">
        <f>_xlfn.STDEV.S('Edited Data'!E2:E300)/SQRT(COUNT('Edited Data'!E2:E300))</f>
        <v>0.2424711624279158</v>
      </c>
    </row>
    <row r="120" spans="1:2" x14ac:dyDescent="0.4">
      <c r="A120" t="s">
        <v>710</v>
      </c>
      <c r="B120">
        <f>AVERAGE('Edited Data'!E2:E300)</f>
        <v>3.471571906354515</v>
      </c>
    </row>
    <row r="121" spans="1:2" x14ac:dyDescent="0.4">
      <c r="A121" t="s">
        <v>714</v>
      </c>
      <c r="B121">
        <f>STDEV('Edited Data'!E2:E300)</f>
        <v>4.1927183447179317</v>
      </c>
    </row>
    <row r="122" spans="1:2" x14ac:dyDescent="0.4">
      <c r="A122" t="s">
        <v>720</v>
      </c>
      <c r="B122">
        <f>MAX('Edited Data'!E2:E300)</f>
        <v>26</v>
      </c>
    </row>
    <row r="123" spans="1:2" x14ac:dyDescent="0.4">
      <c r="A123" t="s">
        <v>719</v>
      </c>
      <c r="B123">
        <v>0</v>
      </c>
    </row>
    <row r="124" spans="1:2" x14ac:dyDescent="0.4">
      <c r="A124" t="s">
        <v>712</v>
      </c>
      <c r="B124">
        <f>MEDIAN('Edited Data'!E2:E300)</f>
        <v>2</v>
      </c>
    </row>
    <row r="125" spans="1:2" x14ac:dyDescent="0.4">
      <c r="A125" t="s">
        <v>713</v>
      </c>
      <c r="B125">
        <f>MODE('Edited Data'!E2:E300)</f>
        <v>0</v>
      </c>
    </row>
    <row r="126" spans="1:2" x14ac:dyDescent="0.4">
      <c r="A126" t="s">
        <v>721</v>
      </c>
      <c r="B126">
        <f>SUM('Edited Data'!E2:E300)</f>
        <v>1038</v>
      </c>
    </row>
    <row r="127" spans="1:2" x14ac:dyDescent="0.4">
      <c r="A127" t="s">
        <v>722</v>
      </c>
      <c r="B127">
        <v>299</v>
      </c>
    </row>
    <row r="128" spans="1:2" x14ac:dyDescent="0.4">
      <c r="A128" t="s">
        <v>715</v>
      </c>
      <c r="B128">
        <f>_xlfn.VAR.S('Edited Data'!E2:E300)</f>
        <v>17.578887118134272</v>
      </c>
    </row>
    <row r="129" spans="1:2" x14ac:dyDescent="0.4">
      <c r="A129" t="s">
        <v>716</v>
      </c>
      <c r="B129">
        <f>KURT('Edited Data'!E2:E300)</f>
        <v>3.122721615292011</v>
      </c>
    </row>
    <row r="130" spans="1:2" x14ac:dyDescent="0.4">
      <c r="A130" t="s">
        <v>717</v>
      </c>
      <c r="B130">
        <f>SKEW('Edited Data'!E2:E300)</f>
        <v>1.5692878038854183</v>
      </c>
    </row>
    <row r="131" spans="1:2" x14ac:dyDescent="0.4">
      <c r="A131" t="s">
        <v>718</v>
      </c>
      <c r="B131">
        <f>MAX(B122-B123)</f>
        <v>26</v>
      </c>
    </row>
    <row r="135" spans="1:2" ht="16.5" thickBot="1" x14ac:dyDescent="0.45"/>
    <row r="136" spans="1:2" x14ac:dyDescent="0.4">
      <c r="A136" s="5" t="s">
        <v>40</v>
      </c>
      <c r="B136" s="5"/>
    </row>
    <row r="138" spans="1:2" x14ac:dyDescent="0.4">
      <c r="A138" t="s">
        <v>710</v>
      </c>
      <c r="B138">
        <v>11.906009244992296</v>
      </c>
    </row>
    <row r="139" spans="1:2" x14ac:dyDescent="0.4">
      <c r="A139" t="s">
        <v>711</v>
      </c>
      <c r="B139">
        <v>0.12681435030794905</v>
      </c>
    </row>
    <row r="140" spans="1:2" x14ac:dyDescent="0.4">
      <c r="A140" t="s">
        <v>712</v>
      </c>
      <c r="B140">
        <v>12</v>
      </c>
    </row>
    <row r="141" spans="1:2" x14ac:dyDescent="0.4">
      <c r="A141" t="s">
        <v>713</v>
      </c>
      <c r="B141">
        <v>11</v>
      </c>
    </row>
    <row r="142" spans="1:2" x14ac:dyDescent="0.4">
      <c r="A142" t="s">
        <v>714</v>
      </c>
      <c r="B142">
        <v>3.2306562428048053</v>
      </c>
    </row>
    <row r="143" spans="1:2" x14ac:dyDescent="0.4">
      <c r="A143" t="s">
        <v>715</v>
      </c>
      <c r="B143">
        <v>10.437139759173663</v>
      </c>
    </row>
    <row r="144" spans="1:2" x14ac:dyDescent="0.4">
      <c r="A144" t="s">
        <v>716</v>
      </c>
      <c r="B144">
        <v>2.7122043191041465</v>
      </c>
    </row>
    <row r="145" spans="1:2" x14ac:dyDescent="0.4">
      <c r="A145" t="s">
        <v>717</v>
      </c>
      <c r="B145">
        <v>-0.91290935471572154</v>
      </c>
    </row>
    <row r="146" spans="1:2" x14ac:dyDescent="0.4">
      <c r="A146" t="s">
        <v>718</v>
      </c>
      <c r="B146">
        <v>19</v>
      </c>
    </row>
    <row r="147" spans="1:2" x14ac:dyDescent="0.4">
      <c r="A147" t="s">
        <v>719</v>
      </c>
      <c r="B147">
        <v>0</v>
      </c>
    </row>
    <row r="148" spans="1:2" x14ac:dyDescent="0.4">
      <c r="A148" t="s">
        <v>720</v>
      </c>
      <c r="B148">
        <v>19</v>
      </c>
    </row>
    <row r="149" spans="1:2" x14ac:dyDescent="0.4">
      <c r="A149" t="s">
        <v>721</v>
      </c>
      <c r="B149">
        <v>7727</v>
      </c>
    </row>
    <row r="150" spans="1:2" ht="16.5" thickBot="1" x14ac:dyDescent="0.45">
      <c r="A150" s="4" t="s">
        <v>722</v>
      </c>
      <c r="B150" s="4">
        <v>649</v>
      </c>
    </row>
    <row r="154" spans="1:2" ht="16.5" thickBot="1" x14ac:dyDescent="0.45"/>
    <row r="155" spans="1:2" x14ac:dyDescent="0.4">
      <c r="A155" s="5" t="s">
        <v>28</v>
      </c>
      <c r="B155" s="5"/>
    </row>
    <row r="157" spans="1:2" x14ac:dyDescent="0.4">
      <c r="A157" t="s">
        <v>710</v>
      </c>
      <c r="B157">
        <v>3.6729583975346687</v>
      </c>
    </row>
    <row r="158" spans="1:2" x14ac:dyDescent="0.4">
      <c r="A158" t="s">
        <v>711</v>
      </c>
      <c r="B158">
        <v>0.12303616193791136</v>
      </c>
    </row>
    <row r="159" spans="1:2" x14ac:dyDescent="0.4">
      <c r="A159" t="s">
        <v>712</v>
      </c>
      <c r="B159">
        <v>3</v>
      </c>
    </row>
    <row r="160" spans="1:2" x14ac:dyDescent="0.4">
      <c r="A160" t="s">
        <v>713</v>
      </c>
      <c r="B160">
        <v>4</v>
      </c>
    </row>
    <row r="161" spans="1:2" x14ac:dyDescent="0.4">
      <c r="A161" t="s">
        <v>714</v>
      </c>
      <c r="B161">
        <v>3.1344050865711908</v>
      </c>
    </row>
    <row r="162" spans="1:2" x14ac:dyDescent="0.4">
      <c r="A162" t="s">
        <v>715</v>
      </c>
      <c r="B162">
        <v>9.8244952467233553</v>
      </c>
    </row>
    <row r="163" spans="1:2" x14ac:dyDescent="0.4">
      <c r="A163" t="s">
        <v>716</v>
      </c>
      <c r="B163">
        <v>1.6806799863352708</v>
      </c>
    </row>
    <row r="164" spans="1:2" x14ac:dyDescent="0.4">
      <c r="A164" t="s">
        <v>717</v>
      </c>
      <c r="B164">
        <v>1.3428546582046808</v>
      </c>
    </row>
    <row r="165" spans="1:2" x14ac:dyDescent="0.4">
      <c r="A165" t="s">
        <v>718</v>
      </c>
      <c r="B165">
        <v>15</v>
      </c>
    </row>
    <row r="166" spans="1:2" x14ac:dyDescent="0.4">
      <c r="A166" t="s">
        <v>719</v>
      </c>
      <c r="B166">
        <v>0</v>
      </c>
    </row>
    <row r="167" spans="1:2" x14ac:dyDescent="0.4">
      <c r="A167" t="s">
        <v>720</v>
      </c>
      <c r="B167">
        <v>15</v>
      </c>
    </row>
    <row r="168" spans="1:2" x14ac:dyDescent="0.4">
      <c r="A168" t="s">
        <v>721</v>
      </c>
      <c r="B168">
        <v>2383.75</v>
      </c>
    </row>
    <row r="169" spans="1:2" ht="16.5" thickBot="1" x14ac:dyDescent="0.45">
      <c r="A169" s="4" t="s">
        <v>722</v>
      </c>
      <c r="B169" s="4">
        <v>649</v>
      </c>
    </row>
  </sheetData>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9D91A-10F5-42F1-9A71-B9FF4E0462D3}">
  <dimension ref="A1:F265"/>
  <sheetViews>
    <sheetView topLeftCell="A44" workbookViewId="0">
      <selection activeCell="H31" sqref="H31"/>
    </sheetView>
  </sheetViews>
  <sheetFormatPr defaultColWidth="8.83203125" defaultRowHeight="16" x14ac:dyDescent="0.4"/>
  <cols>
    <col min="4" max="4" width="27.6640625" customWidth="1"/>
    <col min="5" max="5" width="15" customWidth="1"/>
    <col min="6" max="6" width="16.5" customWidth="1"/>
  </cols>
  <sheetData>
    <row r="1" spans="1:6" x14ac:dyDescent="0.4">
      <c r="A1" s="6" t="s">
        <v>45</v>
      </c>
      <c r="B1" s="6" t="s">
        <v>47</v>
      </c>
    </row>
    <row r="2" spans="1:6" x14ac:dyDescent="0.4">
      <c r="A2">
        <v>10</v>
      </c>
      <c r="B2">
        <v>0</v>
      </c>
      <c r="D2" t="s">
        <v>726</v>
      </c>
    </row>
    <row r="3" spans="1:6" ht="16.5" thickBot="1" x14ac:dyDescent="0.45">
      <c r="A3">
        <v>10</v>
      </c>
      <c r="B3">
        <v>13</v>
      </c>
    </row>
    <row r="4" spans="1:6" x14ac:dyDescent="0.4">
      <c r="A4">
        <v>9</v>
      </c>
      <c r="B4">
        <v>11</v>
      </c>
      <c r="D4" s="7"/>
      <c r="E4" s="7" t="s">
        <v>45</v>
      </c>
      <c r="F4" s="7" t="s">
        <v>47</v>
      </c>
    </row>
    <row r="5" spans="1:6" x14ac:dyDescent="0.4">
      <c r="A5">
        <v>11</v>
      </c>
      <c r="B5">
        <v>10</v>
      </c>
      <c r="D5" t="s">
        <v>710</v>
      </c>
      <c r="E5">
        <v>11.342857142857143</v>
      </c>
      <c r="F5">
        <v>12.140151515151516</v>
      </c>
    </row>
    <row r="6" spans="1:6" x14ac:dyDescent="0.4">
      <c r="A6">
        <v>18</v>
      </c>
      <c r="B6">
        <v>15</v>
      </c>
      <c r="D6" t="s">
        <v>727</v>
      </c>
      <c r="E6">
        <v>3.7025210084033566</v>
      </c>
      <c r="F6">
        <v>10.204617467450161</v>
      </c>
    </row>
    <row r="7" spans="1:6" x14ac:dyDescent="0.4">
      <c r="A7">
        <v>11</v>
      </c>
      <c r="B7">
        <v>15</v>
      </c>
      <c r="D7" t="s">
        <v>728</v>
      </c>
      <c r="E7">
        <v>35</v>
      </c>
      <c r="F7">
        <v>264</v>
      </c>
    </row>
    <row r="8" spans="1:6" x14ac:dyDescent="0.4">
      <c r="A8">
        <v>9</v>
      </c>
      <c r="B8">
        <v>12</v>
      </c>
      <c r="D8" t="s">
        <v>729</v>
      </c>
      <c r="E8">
        <v>0</v>
      </c>
    </row>
    <row r="9" spans="1:6" x14ac:dyDescent="0.4">
      <c r="A9">
        <v>10</v>
      </c>
      <c r="B9">
        <v>14</v>
      </c>
      <c r="D9" t="s">
        <v>730</v>
      </c>
      <c r="E9">
        <v>62</v>
      </c>
    </row>
    <row r="10" spans="1:6" x14ac:dyDescent="0.4">
      <c r="A10">
        <v>11</v>
      </c>
      <c r="B10">
        <v>12</v>
      </c>
      <c r="D10" t="s">
        <v>731</v>
      </c>
      <c r="E10">
        <v>-2.0978513196584001</v>
      </c>
    </row>
    <row r="11" spans="1:6" x14ac:dyDescent="0.4">
      <c r="A11">
        <v>10</v>
      </c>
      <c r="B11">
        <v>17</v>
      </c>
      <c r="D11" t="s">
        <v>732</v>
      </c>
      <c r="E11">
        <v>2.0000438496764257E-2</v>
      </c>
    </row>
    <row r="12" spans="1:6" x14ac:dyDescent="0.4">
      <c r="A12">
        <v>13</v>
      </c>
      <c r="B12">
        <v>0</v>
      </c>
      <c r="D12" t="s">
        <v>733</v>
      </c>
      <c r="E12">
        <v>1.6698041625120112</v>
      </c>
    </row>
    <row r="13" spans="1:6" x14ac:dyDescent="0.4">
      <c r="A13">
        <v>11</v>
      </c>
      <c r="B13">
        <v>10</v>
      </c>
      <c r="D13" t="s">
        <v>734</v>
      </c>
      <c r="E13">
        <v>4.0000876993528514E-2</v>
      </c>
    </row>
    <row r="14" spans="1:6" ht="16.5" thickBot="1" x14ac:dyDescent="0.45">
      <c r="A14">
        <v>12</v>
      </c>
      <c r="B14">
        <v>14</v>
      </c>
      <c r="D14" s="4" t="s">
        <v>735</v>
      </c>
      <c r="E14" s="4">
        <v>1.9989715170333793</v>
      </c>
      <c r="F14" s="4"/>
    </row>
    <row r="15" spans="1:6" x14ac:dyDescent="0.4">
      <c r="A15">
        <v>8</v>
      </c>
      <c r="B15">
        <v>7</v>
      </c>
    </row>
    <row r="16" spans="1:6" x14ac:dyDescent="0.4">
      <c r="A16">
        <v>12</v>
      </c>
      <c r="B16">
        <v>15</v>
      </c>
    </row>
    <row r="17" spans="1:2" x14ac:dyDescent="0.4">
      <c r="A17">
        <v>12</v>
      </c>
      <c r="B17">
        <v>11</v>
      </c>
    </row>
    <row r="18" spans="1:2" x14ac:dyDescent="0.4">
      <c r="A18">
        <v>11</v>
      </c>
      <c r="B18">
        <v>13</v>
      </c>
    </row>
    <row r="19" spans="1:2" x14ac:dyDescent="0.4">
      <c r="A19">
        <v>14</v>
      </c>
      <c r="B19">
        <v>12</v>
      </c>
    </row>
    <row r="20" spans="1:2" x14ac:dyDescent="0.4">
      <c r="A20">
        <v>11</v>
      </c>
      <c r="B20">
        <v>11</v>
      </c>
    </row>
    <row r="21" spans="1:2" x14ac:dyDescent="0.4">
      <c r="A21">
        <v>12</v>
      </c>
      <c r="B21">
        <v>16</v>
      </c>
    </row>
    <row r="22" spans="1:2" x14ac:dyDescent="0.4">
      <c r="A22">
        <v>14</v>
      </c>
      <c r="B22">
        <v>12</v>
      </c>
    </row>
    <row r="23" spans="1:2" x14ac:dyDescent="0.4">
      <c r="A23">
        <v>12</v>
      </c>
      <c r="B23">
        <v>13</v>
      </c>
    </row>
    <row r="24" spans="1:2" x14ac:dyDescent="0.4">
      <c r="A24">
        <v>11</v>
      </c>
      <c r="B24">
        <v>11</v>
      </c>
    </row>
    <row r="25" spans="1:2" x14ac:dyDescent="0.4">
      <c r="A25">
        <v>14</v>
      </c>
      <c r="B25">
        <v>15</v>
      </c>
    </row>
    <row r="26" spans="1:2" x14ac:dyDescent="0.4">
      <c r="A26">
        <v>11</v>
      </c>
      <c r="B26">
        <v>8</v>
      </c>
    </row>
    <row r="27" spans="1:2" x14ac:dyDescent="0.4">
      <c r="A27">
        <v>11</v>
      </c>
      <c r="B27">
        <v>9</v>
      </c>
    </row>
    <row r="28" spans="1:2" x14ac:dyDescent="0.4">
      <c r="A28">
        <v>13</v>
      </c>
      <c r="B28">
        <v>12</v>
      </c>
    </row>
    <row r="29" spans="1:2" x14ac:dyDescent="0.4">
      <c r="A29">
        <v>10</v>
      </c>
      <c r="B29">
        <v>14</v>
      </c>
    </row>
    <row r="30" spans="1:2" x14ac:dyDescent="0.4">
      <c r="A30">
        <v>11</v>
      </c>
      <c r="B30">
        <v>9</v>
      </c>
    </row>
    <row r="31" spans="1:2" x14ac:dyDescent="0.4">
      <c r="A31">
        <v>8</v>
      </c>
      <c r="B31">
        <v>16</v>
      </c>
    </row>
    <row r="32" spans="1:2" x14ac:dyDescent="0.4">
      <c r="A32">
        <v>11</v>
      </c>
      <c r="B32">
        <v>12</v>
      </c>
    </row>
    <row r="33" spans="1:2" x14ac:dyDescent="0.4">
      <c r="A33">
        <v>13</v>
      </c>
      <c r="B33">
        <v>13</v>
      </c>
    </row>
    <row r="34" spans="1:2" x14ac:dyDescent="0.4">
      <c r="A34">
        <v>10</v>
      </c>
      <c r="B34">
        <v>10</v>
      </c>
    </row>
    <row r="35" spans="1:2" x14ac:dyDescent="0.4">
      <c r="A35">
        <v>13</v>
      </c>
      <c r="B35">
        <v>14</v>
      </c>
    </row>
    <row r="36" spans="1:2" x14ac:dyDescent="0.4">
      <c r="A36">
        <v>10</v>
      </c>
      <c r="B36">
        <v>9</v>
      </c>
    </row>
    <row r="37" spans="1:2" x14ac:dyDescent="0.4">
      <c r="B37">
        <v>15</v>
      </c>
    </row>
    <row r="38" spans="1:2" x14ac:dyDescent="0.4">
      <c r="B38">
        <v>16</v>
      </c>
    </row>
    <row r="39" spans="1:2" x14ac:dyDescent="0.4">
      <c r="B39">
        <v>10</v>
      </c>
    </row>
    <row r="40" spans="1:2" x14ac:dyDescent="0.4">
      <c r="B40">
        <v>11</v>
      </c>
    </row>
    <row r="41" spans="1:2" x14ac:dyDescent="0.4">
      <c r="B41">
        <v>16</v>
      </c>
    </row>
    <row r="42" spans="1:2" x14ac:dyDescent="0.4">
      <c r="B42">
        <v>13</v>
      </c>
    </row>
    <row r="43" spans="1:2" x14ac:dyDescent="0.4">
      <c r="B43">
        <v>17</v>
      </c>
    </row>
    <row r="44" spans="1:2" x14ac:dyDescent="0.4">
      <c r="B44">
        <v>17</v>
      </c>
    </row>
    <row r="45" spans="1:2" x14ac:dyDescent="0.4">
      <c r="B45">
        <v>12</v>
      </c>
    </row>
    <row r="46" spans="1:2" x14ac:dyDescent="0.4">
      <c r="B46">
        <v>15</v>
      </c>
    </row>
    <row r="47" spans="1:2" x14ac:dyDescent="0.4">
      <c r="B47">
        <v>14</v>
      </c>
    </row>
    <row r="48" spans="1:2" x14ac:dyDescent="0.4">
      <c r="B48">
        <v>10</v>
      </c>
    </row>
    <row r="49" spans="2:2" x14ac:dyDescent="0.4">
      <c r="B49">
        <v>10</v>
      </c>
    </row>
    <row r="50" spans="2:2" x14ac:dyDescent="0.4">
      <c r="B50">
        <v>13</v>
      </c>
    </row>
    <row r="51" spans="2:2" x14ac:dyDescent="0.4">
      <c r="B51">
        <v>11</v>
      </c>
    </row>
    <row r="52" spans="2:2" x14ac:dyDescent="0.4">
      <c r="B52">
        <v>11</v>
      </c>
    </row>
    <row r="53" spans="2:2" x14ac:dyDescent="0.4">
      <c r="B53">
        <v>12</v>
      </c>
    </row>
    <row r="54" spans="2:2" x14ac:dyDescent="0.4">
      <c r="B54">
        <v>10</v>
      </c>
    </row>
    <row r="55" spans="2:2" x14ac:dyDescent="0.4">
      <c r="B55">
        <v>16</v>
      </c>
    </row>
    <row r="56" spans="2:2" x14ac:dyDescent="0.4">
      <c r="B56">
        <v>10</v>
      </c>
    </row>
    <row r="57" spans="2:2" x14ac:dyDescent="0.4">
      <c r="B57">
        <v>10</v>
      </c>
    </row>
    <row r="58" spans="2:2" x14ac:dyDescent="0.4">
      <c r="B58">
        <v>11</v>
      </c>
    </row>
    <row r="59" spans="2:2" x14ac:dyDescent="0.4">
      <c r="B59">
        <v>16</v>
      </c>
    </row>
    <row r="60" spans="2:2" x14ac:dyDescent="0.4">
      <c r="B60">
        <v>0</v>
      </c>
    </row>
    <row r="61" spans="2:2" x14ac:dyDescent="0.4">
      <c r="B61">
        <v>10</v>
      </c>
    </row>
    <row r="62" spans="2:2" x14ac:dyDescent="0.4">
      <c r="B62">
        <v>15</v>
      </c>
    </row>
    <row r="63" spans="2:2" x14ac:dyDescent="0.4">
      <c r="B63">
        <v>16</v>
      </c>
    </row>
    <row r="64" spans="2:2" x14ac:dyDescent="0.4">
      <c r="B64">
        <v>12</v>
      </c>
    </row>
    <row r="65" spans="2:2" x14ac:dyDescent="0.4">
      <c r="B65">
        <v>12</v>
      </c>
    </row>
    <row r="66" spans="2:2" x14ac:dyDescent="0.4">
      <c r="B66">
        <v>12</v>
      </c>
    </row>
    <row r="67" spans="2:2" x14ac:dyDescent="0.4">
      <c r="B67">
        <v>15</v>
      </c>
    </row>
    <row r="68" spans="2:2" x14ac:dyDescent="0.4">
      <c r="B68">
        <v>12</v>
      </c>
    </row>
    <row r="69" spans="2:2" x14ac:dyDescent="0.4">
      <c r="B69">
        <v>11</v>
      </c>
    </row>
    <row r="70" spans="2:2" x14ac:dyDescent="0.4">
      <c r="B70">
        <v>11</v>
      </c>
    </row>
    <row r="71" spans="2:2" x14ac:dyDescent="0.4">
      <c r="B71">
        <v>16</v>
      </c>
    </row>
    <row r="72" spans="2:2" x14ac:dyDescent="0.4">
      <c r="B72">
        <v>12</v>
      </c>
    </row>
    <row r="73" spans="2:2" x14ac:dyDescent="0.4">
      <c r="B73">
        <v>13</v>
      </c>
    </row>
    <row r="74" spans="2:2" x14ac:dyDescent="0.4">
      <c r="B74">
        <v>13</v>
      </c>
    </row>
    <row r="75" spans="2:2" x14ac:dyDescent="0.4">
      <c r="B75">
        <v>9</v>
      </c>
    </row>
    <row r="76" spans="2:2" x14ac:dyDescent="0.4">
      <c r="B76">
        <v>8</v>
      </c>
    </row>
    <row r="77" spans="2:2" x14ac:dyDescent="0.4">
      <c r="B77">
        <v>10</v>
      </c>
    </row>
    <row r="78" spans="2:2" x14ac:dyDescent="0.4">
      <c r="B78">
        <v>13</v>
      </c>
    </row>
    <row r="79" spans="2:2" x14ac:dyDescent="0.4">
      <c r="B79">
        <v>10</v>
      </c>
    </row>
    <row r="80" spans="2:2" x14ac:dyDescent="0.4">
      <c r="B80">
        <v>13</v>
      </c>
    </row>
    <row r="81" spans="2:2" x14ac:dyDescent="0.4">
      <c r="B81">
        <v>16</v>
      </c>
    </row>
    <row r="82" spans="2:2" x14ac:dyDescent="0.4">
      <c r="B82">
        <v>13</v>
      </c>
    </row>
    <row r="83" spans="2:2" x14ac:dyDescent="0.4">
      <c r="B83">
        <v>17</v>
      </c>
    </row>
    <row r="84" spans="2:2" x14ac:dyDescent="0.4">
      <c r="B84">
        <v>10</v>
      </c>
    </row>
    <row r="85" spans="2:2" x14ac:dyDescent="0.4">
      <c r="B85">
        <v>13</v>
      </c>
    </row>
    <row r="86" spans="2:2" x14ac:dyDescent="0.4">
      <c r="B86">
        <v>10</v>
      </c>
    </row>
    <row r="87" spans="2:2" x14ac:dyDescent="0.4">
      <c r="B87">
        <v>10</v>
      </c>
    </row>
    <row r="88" spans="2:2" x14ac:dyDescent="0.4">
      <c r="B88">
        <v>17</v>
      </c>
    </row>
    <row r="89" spans="2:2" x14ac:dyDescent="0.4">
      <c r="B89">
        <v>17</v>
      </c>
    </row>
    <row r="90" spans="2:2" x14ac:dyDescent="0.4">
      <c r="B90">
        <v>12</v>
      </c>
    </row>
    <row r="91" spans="2:2" x14ac:dyDescent="0.4">
      <c r="B91">
        <v>15</v>
      </c>
    </row>
    <row r="92" spans="2:2" x14ac:dyDescent="0.4">
      <c r="B92">
        <v>11</v>
      </c>
    </row>
    <row r="93" spans="2:2" x14ac:dyDescent="0.4">
      <c r="B93">
        <v>14</v>
      </c>
    </row>
    <row r="94" spans="2:2" x14ac:dyDescent="0.4">
      <c r="B94">
        <v>9</v>
      </c>
    </row>
    <row r="95" spans="2:2" x14ac:dyDescent="0.4">
      <c r="B95">
        <v>12</v>
      </c>
    </row>
    <row r="96" spans="2:2" x14ac:dyDescent="0.4">
      <c r="B96">
        <v>12</v>
      </c>
    </row>
    <row r="97" spans="2:2" x14ac:dyDescent="0.4">
      <c r="B97">
        <v>17</v>
      </c>
    </row>
    <row r="98" spans="2:2" x14ac:dyDescent="0.4">
      <c r="B98">
        <v>8</v>
      </c>
    </row>
    <row r="99" spans="2:2" x14ac:dyDescent="0.4">
      <c r="B99">
        <v>12</v>
      </c>
    </row>
    <row r="100" spans="2:2" x14ac:dyDescent="0.4">
      <c r="B100">
        <v>10</v>
      </c>
    </row>
    <row r="101" spans="2:2" x14ac:dyDescent="0.4">
      <c r="B101">
        <v>18</v>
      </c>
    </row>
    <row r="102" spans="2:2" x14ac:dyDescent="0.4">
      <c r="B102">
        <v>14</v>
      </c>
    </row>
    <row r="103" spans="2:2" x14ac:dyDescent="0.4">
      <c r="B103">
        <v>12</v>
      </c>
    </row>
    <row r="104" spans="2:2" x14ac:dyDescent="0.4">
      <c r="B104">
        <v>11</v>
      </c>
    </row>
    <row r="105" spans="2:2" x14ac:dyDescent="0.4">
      <c r="B105">
        <v>17</v>
      </c>
    </row>
    <row r="106" spans="2:2" x14ac:dyDescent="0.4">
      <c r="B106">
        <v>7</v>
      </c>
    </row>
    <row r="107" spans="2:2" x14ac:dyDescent="0.4">
      <c r="B107">
        <v>9</v>
      </c>
    </row>
    <row r="108" spans="2:2" x14ac:dyDescent="0.4">
      <c r="B108">
        <v>19</v>
      </c>
    </row>
    <row r="109" spans="2:2" x14ac:dyDescent="0.4">
      <c r="B109">
        <v>16</v>
      </c>
    </row>
    <row r="110" spans="2:2" x14ac:dyDescent="0.4">
      <c r="B110">
        <v>10</v>
      </c>
    </row>
    <row r="111" spans="2:2" x14ac:dyDescent="0.4">
      <c r="B111">
        <v>9</v>
      </c>
    </row>
    <row r="112" spans="2:2" x14ac:dyDescent="0.4">
      <c r="B112">
        <v>8</v>
      </c>
    </row>
    <row r="113" spans="2:2" x14ac:dyDescent="0.4">
      <c r="B113">
        <v>13</v>
      </c>
    </row>
    <row r="114" spans="2:2" x14ac:dyDescent="0.4">
      <c r="B114">
        <v>12</v>
      </c>
    </row>
    <row r="115" spans="2:2" x14ac:dyDescent="0.4">
      <c r="B115">
        <v>10</v>
      </c>
    </row>
    <row r="116" spans="2:2" x14ac:dyDescent="0.4">
      <c r="B116">
        <v>15</v>
      </c>
    </row>
    <row r="117" spans="2:2" x14ac:dyDescent="0.4">
      <c r="B117">
        <v>14</v>
      </c>
    </row>
    <row r="118" spans="2:2" x14ac:dyDescent="0.4">
      <c r="B118">
        <v>9</v>
      </c>
    </row>
    <row r="119" spans="2:2" x14ac:dyDescent="0.4">
      <c r="B119">
        <v>11</v>
      </c>
    </row>
    <row r="120" spans="2:2" x14ac:dyDescent="0.4">
      <c r="B120">
        <v>12</v>
      </c>
    </row>
    <row r="121" spans="2:2" x14ac:dyDescent="0.4">
      <c r="B121">
        <v>18</v>
      </c>
    </row>
    <row r="122" spans="2:2" x14ac:dyDescent="0.4">
      <c r="B122">
        <v>18</v>
      </c>
    </row>
    <row r="123" spans="2:2" x14ac:dyDescent="0.4">
      <c r="B123">
        <v>15</v>
      </c>
    </row>
    <row r="124" spans="2:2" x14ac:dyDescent="0.4">
      <c r="B124">
        <v>17</v>
      </c>
    </row>
    <row r="125" spans="2:2" x14ac:dyDescent="0.4">
      <c r="B125">
        <v>14</v>
      </c>
    </row>
    <row r="126" spans="2:2" x14ac:dyDescent="0.4">
      <c r="B126">
        <v>12</v>
      </c>
    </row>
    <row r="127" spans="2:2" x14ac:dyDescent="0.4">
      <c r="B127">
        <v>14</v>
      </c>
    </row>
    <row r="128" spans="2:2" x14ac:dyDescent="0.4">
      <c r="B128">
        <v>9</v>
      </c>
    </row>
    <row r="129" spans="2:2" x14ac:dyDescent="0.4">
      <c r="B129">
        <v>6</v>
      </c>
    </row>
    <row r="130" spans="2:2" x14ac:dyDescent="0.4">
      <c r="B130">
        <v>11</v>
      </c>
    </row>
    <row r="131" spans="2:2" x14ac:dyDescent="0.4">
      <c r="B131">
        <v>10</v>
      </c>
    </row>
    <row r="132" spans="2:2" x14ac:dyDescent="0.4">
      <c r="B132">
        <v>8</v>
      </c>
    </row>
    <row r="133" spans="2:2" x14ac:dyDescent="0.4">
      <c r="B133">
        <v>10</v>
      </c>
    </row>
    <row r="134" spans="2:2" x14ac:dyDescent="0.4">
      <c r="B134">
        <v>10</v>
      </c>
    </row>
    <row r="135" spans="2:2" x14ac:dyDescent="0.4">
      <c r="B135">
        <v>8</v>
      </c>
    </row>
    <row r="136" spans="2:2" x14ac:dyDescent="0.4">
      <c r="B136">
        <v>10</v>
      </c>
    </row>
    <row r="137" spans="2:2" x14ac:dyDescent="0.4">
      <c r="B137">
        <v>10</v>
      </c>
    </row>
    <row r="138" spans="2:2" x14ac:dyDescent="0.4">
      <c r="B138">
        <v>15</v>
      </c>
    </row>
    <row r="139" spans="2:2" x14ac:dyDescent="0.4">
      <c r="B139">
        <v>10</v>
      </c>
    </row>
    <row r="140" spans="2:2" x14ac:dyDescent="0.4">
      <c r="B140">
        <v>15</v>
      </c>
    </row>
    <row r="141" spans="2:2" x14ac:dyDescent="0.4">
      <c r="B141">
        <v>10</v>
      </c>
    </row>
    <row r="142" spans="2:2" x14ac:dyDescent="0.4">
      <c r="B142">
        <v>13</v>
      </c>
    </row>
    <row r="143" spans="2:2" x14ac:dyDescent="0.4">
      <c r="B143">
        <v>12</v>
      </c>
    </row>
    <row r="144" spans="2:2" x14ac:dyDescent="0.4">
      <c r="B144">
        <v>12</v>
      </c>
    </row>
    <row r="145" spans="2:2" x14ac:dyDescent="0.4">
      <c r="B145">
        <v>8</v>
      </c>
    </row>
    <row r="146" spans="2:2" x14ac:dyDescent="0.4">
      <c r="B146">
        <v>11</v>
      </c>
    </row>
    <row r="147" spans="2:2" x14ac:dyDescent="0.4">
      <c r="B147">
        <v>10</v>
      </c>
    </row>
    <row r="148" spans="2:2" x14ac:dyDescent="0.4">
      <c r="B148">
        <v>9</v>
      </c>
    </row>
    <row r="149" spans="2:2" x14ac:dyDescent="0.4">
      <c r="B149">
        <v>11</v>
      </c>
    </row>
    <row r="150" spans="2:2" x14ac:dyDescent="0.4">
      <c r="B150">
        <v>11</v>
      </c>
    </row>
    <row r="151" spans="2:2" x14ac:dyDescent="0.4">
      <c r="B151">
        <v>13</v>
      </c>
    </row>
    <row r="152" spans="2:2" x14ac:dyDescent="0.4">
      <c r="B152">
        <v>11</v>
      </c>
    </row>
    <row r="153" spans="2:2" x14ac:dyDescent="0.4">
      <c r="B153">
        <v>15</v>
      </c>
    </row>
    <row r="154" spans="2:2" x14ac:dyDescent="0.4">
      <c r="B154">
        <v>13</v>
      </c>
    </row>
    <row r="155" spans="2:2" x14ac:dyDescent="0.4">
      <c r="B155">
        <v>11</v>
      </c>
    </row>
    <row r="156" spans="2:2" x14ac:dyDescent="0.4">
      <c r="B156">
        <v>10</v>
      </c>
    </row>
    <row r="157" spans="2:2" x14ac:dyDescent="0.4">
      <c r="B157">
        <v>18</v>
      </c>
    </row>
    <row r="158" spans="2:2" x14ac:dyDescent="0.4">
      <c r="B158">
        <v>13</v>
      </c>
    </row>
    <row r="159" spans="2:2" x14ac:dyDescent="0.4">
      <c r="B159">
        <v>13</v>
      </c>
    </row>
    <row r="160" spans="2:2" x14ac:dyDescent="0.4">
      <c r="B160">
        <v>15</v>
      </c>
    </row>
    <row r="161" spans="2:2" x14ac:dyDescent="0.4">
      <c r="B161">
        <v>13</v>
      </c>
    </row>
    <row r="162" spans="2:2" x14ac:dyDescent="0.4">
      <c r="B162">
        <v>7</v>
      </c>
    </row>
    <row r="163" spans="2:2" x14ac:dyDescent="0.4">
      <c r="B163">
        <v>15</v>
      </c>
    </row>
    <row r="164" spans="2:2" x14ac:dyDescent="0.4">
      <c r="B164">
        <v>14</v>
      </c>
    </row>
    <row r="165" spans="2:2" x14ac:dyDescent="0.4">
      <c r="B165">
        <v>14</v>
      </c>
    </row>
    <row r="166" spans="2:2" x14ac:dyDescent="0.4">
      <c r="B166">
        <v>12</v>
      </c>
    </row>
    <row r="167" spans="2:2" x14ac:dyDescent="0.4">
      <c r="B167">
        <v>16</v>
      </c>
    </row>
    <row r="168" spans="2:2" x14ac:dyDescent="0.4">
      <c r="B168">
        <v>18</v>
      </c>
    </row>
    <row r="169" spans="2:2" x14ac:dyDescent="0.4">
      <c r="B169">
        <v>11</v>
      </c>
    </row>
    <row r="170" spans="2:2" x14ac:dyDescent="0.4">
      <c r="B170">
        <v>16</v>
      </c>
    </row>
    <row r="171" spans="2:2" x14ac:dyDescent="0.4">
      <c r="B171">
        <v>12</v>
      </c>
    </row>
    <row r="172" spans="2:2" x14ac:dyDescent="0.4">
      <c r="B172">
        <v>13</v>
      </c>
    </row>
    <row r="173" spans="2:2" x14ac:dyDescent="0.4">
      <c r="B173">
        <v>15</v>
      </c>
    </row>
    <row r="174" spans="2:2" x14ac:dyDescent="0.4">
      <c r="B174">
        <v>12</v>
      </c>
    </row>
    <row r="175" spans="2:2" x14ac:dyDescent="0.4">
      <c r="B175">
        <v>11</v>
      </c>
    </row>
    <row r="176" spans="2:2" x14ac:dyDescent="0.4">
      <c r="B176">
        <v>15</v>
      </c>
    </row>
    <row r="177" spans="2:2" x14ac:dyDescent="0.4">
      <c r="B177">
        <v>11</v>
      </c>
    </row>
    <row r="178" spans="2:2" x14ac:dyDescent="0.4">
      <c r="B178">
        <v>10</v>
      </c>
    </row>
    <row r="179" spans="2:2" x14ac:dyDescent="0.4">
      <c r="B179">
        <v>14</v>
      </c>
    </row>
    <row r="180" spans="2:2" x14ac:dyDescent="0.4">
      <c r="B180">
        <v>8</v>
      </c>
    </row>
    <row r="181" spans="2:2" x14ac:dyDescent="0.4">
      <c r="B181">
        <v>18</v>
      </c>
    </row>
    <row r="182" spans="2:2" x14ac:dyDescent="0.4">
      <c r="B182">
        <v>15</v>
      </c>
    </row>
    <row r="183" spans="2:2" x14ac:dyDescent="0.4">
      <c r="B183">
        <v>9</v>
      </c>
    </row>
    <row r="184" spans="2:2" x14ac:dyDescent="0.4">
      <c r="B184">
        <v>14</v>
      </c>
    </row>
    <row r="185" spans="2:2" x14ac:dyDescent="0.4">
      <c r="B185">
        <v>12</v>
      </c>
    </row>
    <row r="186" spans="2:2" x14ac:dyDescent="0.4">
      <c r="B186">
        <v>11</v>
      </c>
    </row>
    <row r="187" spans="2:2" x14ac:dyDescent="0.4">
      <c r="B187">
        <v>10</v>
      </c>
    </row>
    <row r="188" spans="2:2" x14ac:dyDescent="0.4">
      <c r="B188">
        <v>15</v>
      </c>
    </row>
    <row r="189" spans="2:2" x14ac:dyDescent="0.4">
      <c r="B189">
        <v>13</v>
      </c>
    </row>
    <row r="190" spans="2:2" x14ac:dyDescent="0.4">
      <c r="B190">
        <v>10</v>
      </c>
    </row>
    <row r="191" spans="2:2" x14ac:dyDescent="0.4">
      <c r="B191">
        <v>13</v>
      </c>
    </row>
    <row r="192" spans="2:2" x14ac:dyDescent="0.4">
      <c r="B192">
        <v>16</v>
      </c>
    </row>
    <row r="193" spans="2:2" x14ac:dyDescent="0.4">
      <c r="B193">
        <v>11</v>
      </c>
    </row>
    <row r="194" spans="2:2" x14ac:dyDescent="0.4">
      <c r="B194">
        <v>0</v>
      </c>
    </row>
    <row r="195" spans="2:2" x14ac:dyDescent="0.4">
      <c r="B195">
        <v>10</v>
      </c>
    </row>
    <row r="196" spans="2:2" x14ac:dyDescent="0.4">
      <c r="B196">
        <v>8</v>
      </c>
    </row>
    <row r="197" spans="2:2" x14ac:dyDescent="0.4">
      <c r="B197">
        <v>17</v>
      </c>
    </row>
    <row r="198" spans="2:2" x14ac:dyDescent="0.4">
      <c r="B198">
        <v>16</v>
      </c>
    </row>
    <row r="199" spans="2:2" x14ac:dyDescent="0.4">
      <c r="B199">
        <v>11</v>
      </c>
    </row>
    <row r="200" spans="2:2" x14ac:dyDescent="0.4">
      <c r="B200">
        <v>15</v>
      </c>
    </row>
    <row r="201" spans="2:2" x14ac:dyDescent="0.4">
      <c r="B201">
        <v>8</v>
      </c>
    </row>
    <row r="202" spans="2:2" x14ac:dyDescent="0.4">
      <c r="B202">
        <v>9</v>
      </c>
    </row>
    <row r="203" spans="2:2" x14ac:dyDescent="0.4">
      <c r="B203">
        <v>13</v>
      </c>
    </row>
    <row r="204" spans="2:2" x14ac:dyDescent="0.4">
      <c r="B204">
        <v>17</v>
      </c>
    </row>
    <row r="205" spans="2:2" x14ac:dyDescent="0.4">
      <c r="B205">
        <v>13</v>
      </c>
    </row>
    <row r="206" spans="2:2" x14ac:dyDescent="0.4">
      <c r="B206">
        <v>11</v>
      </c>
    </row>
    <row r="207" spans="2:2" x14ac:dyDescent="0.4">
      <c r="B207">
        <v>12</v>
      </c>
    </row>
    <row r="208" spans="2:2" x14ac:dyDescent="0.4">
      <c r="B208">
        <v>17</v>
      </c>
    </row>
    <row r="209" spans="2:2" x14ac:dyDescent="0.4">
      <c r="B209">
        <v>9</v>
      </c>
    </row>
    <row r="210" spans="2:2" x14ac:dyDescent="0.4">
      <c r="B210">
        <v>15</v>
      </c>
    </row>
    <row r="211" spans="2:2" x14ac:dyDescent="0.4">
      <c r="B211">
        <v>8</v>
      </c>
    </row>
    <row r="212" spans="2:2" x14ac:dyDescent="0.4">
      <c r="B212">
        <v>10</v>
      </c>
    </row>
    <row r="213" spans="2:2" x14ac:dyDescent="0.4">
      <c r="B213">
        <v>15</v>
      </c>
    </row>
    <row r="214" spans="2:2" x14ac:dyDescent="0.4">
      <c r="B214">
        <v>11</v>
      </c>
    </row>
    <row r="215" spans="2:2" x14ac:dyDescent="0.4">
      <c r="B215">
        <v>17</v>
      </c>
    </row>
    <row r="216" spans="2:2" x14ac:dyDescent="0.4">
      <c r="B216">
        <v>10</v>
      </c>
    </row>
    <row r="217" spans="2:2" x14ac:dyDescent="0.4">
      <c r="B217">
        <v>12</v>
      </c>
    </row>
    <row r="218" spans="2:2" x14ac:dyDescent="0.4">
      <c r="B218">
        <v>12</v>
      </c>
    </row>
    <row r="219" spans="2:2" x14ac:dyDescent="0.4">
      <c r="B219">
        <v>14</v>
      </c>
    </row>
    <row r="220" spans="2:2" x14ac:dyDescent="0.4">
      <c r="B220">
        <v>11</v>
      </c>
    </row>
    <row r="221" spans="2:2" x14ac:dyDescent="0.4">
      <c r="B221">
        <v>15</v>
      </c>
    </row>
    <row r="222" spans="2:2" x14ac:dyDescent="0.4">
      <c r="B222">
        <v>15</v>
      </c>
    </row>
    <row r="223" spans="2:2" x14ac:dyDescent="0.4">
      <c r="B223">
        <v>8</v>
      </c>
    </row>
    <row r="224" spans="2:2" x14ac:dyDescent="0.4">
      <c r="B224">
        <v>7</v>
      </c>
    </row>
    <row r="225" spans="2:2" x14ac:dyDescent="0.4">
      <c r="B225">
        <v>14</v>
      </c>
    </row>
    <row r="226" spans="2:2" x14ac:dyDescent="0.4">
      <c r="B226">
        <v>12</v>
      </c>
    </row>
    <row r="227" spans="2:2" x14ac:dyDescent="0.4">
      <c r="B227">
        <v>7</v>
      </c>
    </row>
    <row r="228" spans="2:2" x14ac:dyDescent="0.4">
      <c r="B228">
        <v>13</v>
      </c>
    </row>
    <row r="229" spans="2:2" x14ac:dyDescent="0.4">
      <c r="B229">
        <v>16</v>
      </c>
    </row>
    <row r="230" spans="2:2" x14ac:dyDescent="0.4">
      <c r="B230">
        <v>15</v>
      </c>
    </row>
    <row r="231" spans="2:2" x14ac:dyDescent="0.4">
      <c r="B231">
        <v>13</v>
      </c>
    </row>
    <row r="232" spans="2:2" x14ac:dyDescent="0.4">
      <c r="B232">
        <v>14</v>
      </c>
    </row>
    <row r="233" spans="2:2" x14ac:dyDescent="0.4">
      <c r="B233">
        <v>15</v>
      </c>
    </row>
    <row r="234" spans="2:2" x14ac:dyDescent="0.4">
      <c r="B234">
        <v>11</v>
      </c>
    </row>
    <row r="235" spans="2:2" x14ac:dyDescent="0.4">
      <c r="B235">
        <v>13</v>
      </c>
    </row>
    <row r="236" spans="2:2" x14ac:dyDescent="0.4">
      <c r="B236">
        <v>12</v>
      </c>
    </row>
    <row r="237" spans="2:2" x14ac:dyDescent="0.4">
      <c r="B237">
        <v>16</v>
      </c>
    </row>
    <row r="238" spans="2:2" x14ac:dyDescent="0.4">
      <c r="B238">
        <v>13</v>
      </c>
    </row>
    <row r="239" spans="2:2" x14ac:dyDescent="0.4">
      <c r="B239">
        <v>9</v>
      </c>
    </row>
    <row r="240" spans="2:2" x14ac:dyDescent="0.4">
      <c r="B240">
        <v>8</v>
      </c>
    </row>
    <row r="241" spans="2:2" x14ac:dyDescent="0.4">
      <c r="B241">
        <v>11</v>
      </c>
    </row>
    <row r="242" spans="2:2" x14ac:dyDescent="0.4">
      <c r="B242">
        <v>8</v>
      </c>
    </row>
    <row r="243" spans="2:2" x14ac:dyDescent="0.4">
      <c r="B243">
        <v>11</v>
      </c>
    </row>
    <row r="244" spans="2:2" x14ac:dyDescent="0.4">
      <c r="B244">
        <v>14</v>
      </c>
    </row>
    <row r="245" spans="2:2" x14ac:dyDescent="0.4">
      <c r="B245">
        <v>16</v>
      </c>
    </row>
    <row r="246" spans="2:2" x14ac:dyDescent="0.4">
      <c r="B246">
        <v>9</v>
      </c>
    </row>
    <row r="247" spans="2:2" x14ac:dyDescent="0.4">
      <c r="B247">
        <v>10</v>
      </c>
    </row>
    <row r="248" spans="2:2" x14ac:dyDescent="0.4">
      <c r="B248">
        <v>14</v>
      </c>
    </row>
    <row r="249" spans="2:2" x14ac:dyDescent="0.4">
      <c r="B249">
        <v>16</v>
      </c>
    </row>
    <row r="250" spans="2:2" x14ac:dyDescent="0.4">
      <c r="B250">
        <v>16</v>
      </c>
    </row>
    <row r="251" spans="2:2" x14ac:dyDescent="0.4">
      <c r="B251">
        <v>8</v>
      </c>
    </row>
    <row r="252" spans="2:2" x14ac:dyDescent="0.4">
      <c r="B252">
        <v>11</v>
      </c>
    </row>
    <row r="253" spans="2:2" x14ac:dyDescent="0.4">
      <c r="B253">
        <v>14</v>
      </c>
    </row>
    <row r="254" spans="2:2" x14ac:dyDescent="0.4">
      <c r="B254">
        <v>10</v>
      </c>
    </row>
    <row r="255" spans="2:2" x14ac:dyDescent="0.4">
      <c r="B255">
        <v>11</v>
      </c>
    </row>
    <row r="256" spans="2:2" x14ac:dyDescent="0.4">
      <c r="B256">
        <v>11</v>
      </c>
    </row>
    <row r="257" spans="2:2" x14ac:dyDescent="0.4">
      <c r="B257">
        <v>14</v>
      </c>
    </row>
    <row r="258" spans="2:2" x14ac:dyDescent="0.4">
      <c r="B258">
        <v>14</v>
      </c>
    </row>
    <row r="259" spans="2:2" x14ac:dyDescent="0.4">
      <c r="B259">
        <v>12</v>
      </c>
    </row>
    <row r="260" spans="2:2" x14ac:dyDescent="0.4">
      <c r="B260">
        <v>14</v>
      </c>
    </row>
    <row r="261" spans="2:2" x14ac:dyDescent="0.4">
      <c r="B261">
        <v>12</v>
      </c>
    </row>
    <row r="262" spans="2:2" x14ac:dyDescent="0.4">
      <c r="B262">
        <v>11</v>
      </c>
    </row>
    <row r="263" spans="2:2" x14ac:dyDescent="0.4">
      <c r="B263">
        <v>12</v>
      </c>
    </row>
    <row r="264" spans="2:2" x14ac:dyDescent="0.4">
      <c r="B264">
        <v>11</v>
      </c>
    </row>
    <row r="265" spans="2:2" x14ac:dyDescent="0.4">
      <c r="B265">
        <v>0</v>
      </c>
    </row>
  </sheetData>
  <autoFilter ref="A2:B264" xr:uid="{9929D91A-10F5-42F1-9A71-B9FF4E0462D3}"/>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1B63-CD72-437F-A233-FD8136C5782C}">
  <dimension ref="A1:L300"/>
  <sheetViews>
    <sheetView topLeftCell="C1" zoomScale="94" workbookViewId="0">
      <selection activeCell="M10" sqref="M10"/>
    </sheetView>
  </sheetViews>
  <sheetFormatPr defaultColWidth="10.6640625" defaultRowHeight="16" x14ac:dyDescent="0.4"/>
  <sheetData>
    <row r="1" spans="1:12" ht="16.5" thickBot="1" x14ac:dyDescent="0.45">
      <c r="A1" s="6" t="s">
        <v>28</v>
      </c>
      <c r="B1" s="6" t="s">
        <v>30</v>
      </c>
      <c r="C1" s="6" t="s">
        <v>32</v>
      </c>
      <c r="D1" s="6" t="s">
        <v>38</v>
      </c>
      <c r="E1" s="6" t="s">
        <v>40</v>
      </c>
    </row>
    <row r="2" spans="1:12" x14ac:dyDescent="0.4">
      <c r="A2">
        <v>2.75</v>
      </c>
      <c r="B2">
        <v>1</v>
      </c>
      <c r="C2">
        <v>4</v>
      </c>
      <c r="D2">
        <v>2</v>
      </c>
      <c r="E2">
        <v>10</v>
      </c>
      <c r="G2" s="7"/>
      <c r="H2" s="7" t="s">
        <v>28</v>
      </c>
      <c r="I2" s="7" t="s">
        <v>30</v>
      </c>
      <c r="J2" s="7" t="s">
        <v>32</v>
      </c>
      <c r="K2" s="7" t="s">
        <v>38</v>
      </c>
      <c r="L2" s="7" t="s">
        <v>40</v>
      </c>
    </row>
    <row r="3" spans="1:12" x14ac:dyDescent="0.4">
      <c r="A3">
        <v>3.75</v>
      </c>
      <c r="B3">
        <v>0</v>
      </c>
      <c r="C3">
        <v>0</v>
      </c>
      <c r="D3">
        <v>1</v>
      </c>
      <c r="E3">
        <v>0</v>
      </c>
      <c r="G3" t="s">
        <v>28</v>
      </c>
      <c r="H3">
        <v>1</v>
      </c>
    </row>
    <row r="4" spans="1:12" x14ac:dyDescent="0.4">
      <c r="A4">
        <v>0.25</v>
      </c>
      <c r="B4">
        <v>0</v>
      </c>
      <c r="C4">
        <v>0</v>
      </c>
      <c r="D4">
        <v>3</v>
      </c>
      <c r="E4">
        <v>13</v>
      </c>
      <c r="G4" t="s">
        <v>30</v>
      </c>
      <c r="H4">
        <v>-0.13088609150832864</v>
      </c>
      <c r="I4">
        <v>1</v>
      </c>
    </row>
    <row r="5" spans="1:12" x14ac:dyDescent="0.4">
      <c r="A5">
        <v>2.75</v>
      </c>
      <c r="B5">
        <v>0</v>
      </c>
      <c r="C5">
        <v>0</v>
      </c>
      <c r="D5">
        <v>1</v>
      </c>
      <c r="E5">
        <v>11</v>
      </c>
      <c r="G5" t="s">
        <v>32</v>
      </c>
      <c r="H5">
        <v>-2.9101162229289004E-2</v>
      </c>
      <c r="I5">
        <v>0.12391208951164999</v>
      </c>
      <c r="J5">
        <v>1</v>
      </c>
    </row>
    <row r="6" spans="1:12" x14ac:dyDescent="0.4">
      <c r="A6">
        <v>0.25</v>
      </c>
      <c r="B6">
        <v>0</v>
      </c>
      <c r="C6">
        <v>2</v>
      </c>
      <c r="D6">
        <v>3</v>
      </c>
      <c r="E6">
        <v>10</v>
      </c>
      <c r="G6" t="s">
        <v>38</v>
      </c>
      <c r="H6">
        <v>-0.14448563024872416</v>
      </c>
      <c r="I6">
        <v>4.0618953717492114E-2</v>
      </c>
      <c r="J6">
        <v>0.19133513753124762</v>
      </c>
      <c r="K6">
        <v>1</v>
      </c>
    </row>
    <row r="7" spans="1:12" ht="16.5" thickBot="1" x14ac:dyDescent="0.45">
      <c r="A7">
        <v>3.75</v>
      </c>
      <c r="B7">
        <v>0</v>
      </c>
      <c r="C7">
        <v>0</v>
      </c>
      <c r="D7">
        <v>2</v>
      </c>
      <c r="E7">
        <v>15</v>
      </c>
      <c r="G7" s="4" t="s">
        <v>40</v>
      </c>
      <c r="H7" s="4">
        <v>0.22846847071193671</v>
      </c>
      <c r="I7" s="4">
        <v>-0.41860344405985878</v>
      </c>
      <c r="J7" s="4">
        <v>-0.12483571280265746</v>
      </c>
      <c r="K7" s="4">
        <v>-0.22140241474919273</v>
      </c>
      <c r="L7" s="4">
        <v>1</v>
      </c>
    </row>
    <row r="8" spans="1:12" x14ac:dyDescent="0.4">
      <c r="A8">
        <v>7.25</v>
      </c>
      <c r="B8">
        <v>0</v>
      </c>
      <c r="C8">
        <v>0</v>
      </c>
      <c r="D8">
        <v>2</v>
      </c>
      <c r="E8">
        <v>15</v>
      </c>
    </row>
    <row r="9" spans="1:12" x14ac:dyDescent="0.4">
      <c r="A9">
        <v>4</v>
      </c>
      <c r="B9">
        <v>0</v>
      </c>
      <c r="C9">
        <v>4</v>
      </c>
      <c r="D9">
        <v>5</v>
      </c>
      <c r="E9">
        <v>12</v>
      </c>
    </row>
    <row r="10" spans="1:12" x14ac:dyDescent="0.4">
      <c r="A10">
        <v>3</v>
      </c>
      <c r="B10">
        <v>0</v>
      </c>
      <c r="C10">
        <v>0</v>
      </c>
      <c r="D10">
        <v>1</v>
      </c>
      <c r="E10">
        <v>14</v>
      </c>
    </row>
    <row r="11" spans="1:12" x14ac:dyDescent="0.4">
      <c r="A11">
        <v>12.75</v>
      </c>
      <c r="B11">
        <v>0</v>
      </c>
      <c r="C11">
        <v>2</v>
      </c>
      <c r="D11">
        <v>1</v>
      </c>
      <c r="E11">
        <v>12</v>
      </c>
    </row>
    <row r="12" spans="1:12" x14ac:dyDescent="0.4">
      <c r="A12">
        <v>3.25</v>
      </c>
      <c r="B12">
        <v>0</v>
      </c>
      <c r="C12">
        <v>6</v>
      </c>
      <c r="D12">
        <v>2</v>
      </c>
      <c r="E12">
        <v>17</v>
      </c>
    </row>
    <row r="13" spans="1:12" x14ac:dyDescent="0.4">
      <c r="A13">
        <v>2.5</v>
      </c>
      <c r="B13">
        <v>0</v>
      </c>
      <c r="C13">
        <v>0</v>
      </c>
      <c r="D13">
        <v>4</v>
      </c>
      <c r="E13">
        <v>0</v>
      </c>
    </row>
    <row r="14" spans="1:12" x14ac:dyDescent="0.4">
      <c r="A14">
        <v>0.25</v>
      </c>
      <c r="B14">
        <v>0</v>
      </c>
      <c r="C14">
        <v>3</v>
      </c>
      <c r="D14">
        <v>2</v>
      </c>
      <c r="E14">
        <v>10</v>
      </c>
    </row>
    <row r="15" spans="1:12" x14ac:dyDescent="0.4">
      <c r="A15">
        <v>4.75</v>
      </c>
      <c r="B15">
        <v>0</v>
      </c>
      <c r="C15">
        <v>8</v>
      </c>
      <c r="D15">
        <v>1</v>
      </c>
      <c r="E15">
        <v>14</v>
      </c>
    </row>
    <row r="16" spans="1:12" x14ac:dyDescent="0.4">
      <c r="A16">
        <v>3</v>
      </c>
      <c r="B16">
        <v>2</v>
      </c>
      <c r="C16">
        <v>3</v>
      </c>
      <c r="D16">
        <v>2</v>
      </c>
      <c r="E16">
        <v>7</v>
      </c>
    </row>
    <row r="17" spans="1:5" x14ac:dyDescent="0.4">
      <c r="A17">
        <v>14.25</v>
      </c>
      <c r="B17">
        <v>0</v>
      </c>
      <c r="C17">
        <v>6</v>
      </c>
      <c r="D17">
        <v>2</v>
      </c>
      <c r="E17">
        <v>15</v>
      </c>
    </row>
    <row r="18" spans="1:5" x14ac:dyDescent="0.4">
      <c r="A18">
        <v>3.5</v>
      </c>
      <c r="B18">
        <v>0</v>
      </c>
      <c r="C18">
        <v>0</v>
      </c>
      <c r="D18">
        <v>1</v>
      </c>
      <c r="E18">
        <v>11</v>
      </c>
    </row>
    <row r="19" spans="1:5" x14ac:dyDescent="0.4">
      <c r="A19">
        <v>2.5</v>
      </c>
      <c r="B19">
        <v>0</v>
      </c>
      <c r="C19">
        <v>0</v>
      </c>
      <c r="D19">
        <v>1</v>
      </c>
      <c r="E19">
        <v>13</v>
      </c>
    </row>
    <row r="20" spans="1:5" x14ac:dyDescent="0.4">
      <c r="A20">
        <v>1.25</v>
      </c>
      <c r="B20">
        <v>0</v>
      </c>
      <c r="C20">
        <v>4</v>
      </c>
      <c r="D20">
        <v>1</v>
      </c>
      <c r="E20">
        <v>12</v>
      </c>
    </row>
    <row r="21" spans="1:5" x14ac:dyDescent="0.4">
      <c r="A21">
        <v>1.25</v>
      </c>
      <c r="B21">
        <v>0</v>
      </c>
      <c r="C21">
        <v>0</v>
      </c>
      <c r="D21">
        <v>2</v>
      </c>
      <c r="E21">
        <v>11</v>
      </c>
    </row>
    <row r="22" spans="1:5" x14ac:dyDescent="0.4">
      <c r="A22">
        <v>2.25</v>
      </c>
      <c r="B22">
        <v>0</v>
      </c>
      <c r="C22">
        <v>0</v>
      </c>
      <c r="D22">
        <v>1</v>
      </c>
      <c r="E22">
        <v>16</v>
      </c>
    </row>
    <row r="23" spans="1:5" x14ac:dyDescent="0.4">
      <c r="A23">
        <v>4.25</v>
      </c>
      <c r="B23">
        <v>0</v>
      </c>
      <c r="C23">
        <v>4</v>
      </c>
      <c r="D23">
        <v>1</v>
      </c>
      <c r="E23">
        <v>12</v>
      </c>
    </row>
    <row r="24" spans="1:5" x14ac:dyDescent="0.4">
      <c r="A24">
        <v>3.75</v>
      </c>
      <c r="B24">
        <v>0</v>
      </c>
      <c r="C24">
        <v>2</v>
      </c>
      <c r="D24">
        <v>1</v>
      </c>
      <c r="E24">
        <v>13</v>
      </c>
    </row>
    <row r="25" spans="1:5" x14ac:dyDescent="0.4">
      <c r="A25">
        <v>1.5</v>
      </c>
      <c r="B25">
        <v>1</v>
      </c>
      <c r="C25">
        <v>12</v>
      </c>
      <c r="D25">
        <v>1</v>
      </c>
      <c r="E25">
        <v>11</v>
      </c>
    </row>
    <row r="26" spans="1:5" x14ac:dyDescent="0.4">
      <c r="A26">
        <v>4</v>
      </c>
      <c r="B26">
        <v>0</v>
      </c>
      <c r="C26">
        <v>8</v>
      </c>
      <c r="D26">
        <v>1</v>
      </c>
      <c r="E26">
        <v>15</v>
      </c>
    </row>
    <row r="27" spans="1:5" x14ac:dyDescent="0.4">
      <c r="A27">
        <v>3.75</v>
      </c>
      <c r="B27">
        <v>1</v>
      </c>
      <c r="C27">
        <v>3</v>
      </c>
      <c r="D27">
        <v>1</v>
      </c>
      <c r="E27">
        <v>8</v>
      </c>
    </row>
    <row r="28" spans="1:5" x14ac:dyDescent="0.4">
      <c r="A28">
        <v>0.75</v>
      </c>
      <c r="B28">
        <v>1</v>
      </c>
      <c r="C28">
        <v>2</v>
      </c>
      <c r="D28">
        <v>1</v>
      </c>
      <c r="E28">
        <v>9</v>
      </c>
    </row>
    <row r="29" spans="1:5" x14ac:dyDescent="0.4">
      <c r="A29">
        <v>11.75</v>
      </c>
      <c r="B29">
        <v>0</v>
      </c>
      <c r="C29">
        <v>10</v>
      </c>
      <c r="D29">
        <v>1</v>
      </c>
      <c r="E29">
        <v>10</v>
      </c>
    </row>
    <row r="30" spans="1:5" x14ac:dyDescent="0.4">
      <c r="A30">
        <v>6</v>
      </c>
      <c r="B30">
        <v>0</v>
      </c>
      <c r="C30">
        <v>2</v>
      </c>
      <c r="D30">
        <v>1</v>
      </c>
      <c r="E30">
        <v>9</v>
      </c>
    </row>
    <row r="31" spans="1:5" x14ac:dyDescent="0.4">
      <c r="A31">
        <v>2</v>
      </c>
      <c r="B31">
        <v>0</v>
      </c>
      <c r="C31">
        <v>4</v>
      </c>
      <c r="D31">
        <v>2</v>
      </c>
      <c r="E31">
        <v>12</v>
      </c>
    </row>
    <row r="32" spans="1:5" x14ac:dyDescent="0.4">
      <c r="A32">
        <v>4.5</v>
      </c>
      <c r="B32">
        <v>0</v>
      </c>
      <c r="C32">
        <v>0</v>
      </c>
      <c r="D32">
        <v>2</v>
      </c>
      <c r="E32">
        <v>14</v>
      </c>
    </row>
    <row r="33" spans="1:5" x14ac:dyDescent="0.4">
      <c r="A33">
        <v>3.5</v>
      </c>
      <c r="B33">
        <v>0</v>
      </c>
      <c r="C33">
        <v>2</v>
      </c>
      <c r="D33">
        <v>3</v>
      </c>
      <c r="E33">
        <v>11</v>
      </c>
    </row>
    <row r="34" spans="1:5" x14ac:dyDescent="0.4">
      <c r="A34">
        <v>1.25</v>
      </c>
      <c r="B34">
        <v>0</v>
      </c>
      <c r="C34">
        <v>0</v>
      </c>
      <c r="D34">
        <v>2</v>
      </c>
      <c r="E34">
        <v>9</v>
      </c>
    </row>
    <row r="35" spans="1:5" x14ac:dyDescent="0.4">
      <c r="A35">
        <v>2.5</v>
      </c>
      <c r="B35">
        <v>0</v>
      </c>
      <c r="C35">
        <v>0</v>
      </c>
      <c r="D35">
        <v>2</v>
      </c>
      <c r="E35">
        <v>18</v>
      </c>
    </row>
    <row r="36" spans="1:5" x14ac:dyDescent="0.4">
      <c r="A36">
        <v>4.25</v>
      </c>
      <c r="B36">
        <v>0</v>
      </c>
      <c r="C36">
        <v>0</v>
      </c>
      <c r="D36">
        <v>2</v>
      </c>
      <c r="E36">
        <v>11</v>
      </c>
    </row>
    <row r="37" spans="1:5" x14ac:dyDescent="0.4">
      <c r="A37">
        <v>2.75</v>
      </c>
      <c r="B37">
        <v>0</v>
      </c>
      <c r="C37">
        <v>4</v>
      </c>
      <c r="D37">
        <v>1</v>
      </c>
      <c r="E37">
        <v>16</v>
      </c>
    </row>
    <row r="38" spans="1:5" x14ac:dyDescent="0.4">
      <c r="A38">
        <v>6.5</v>
      </c>
      <c r="B38">
        <v>0</v>
      </c>
      <c r="C38">
        <v>2</v>
      </c>
      <c r="D38">
        <v>1</v>
      </c>
      <c r="E38">
        <v>12</v>
      </c>
    </row>
    <row r="39" spans="1:5" x14ac:dyDescent="0.4">
      <c r="A39">
        <v>3.5</v>
      </c>
      <c r="B39">
        <v>0</v>
      </c>
      <c r="C39">
        <v>0</v>
      </c>
      <c r="D39">
        <v>1</v>
      </c>
      <c r="E39">
        <v>13</v>
      </c>
    </row>
    <row r="40" spans="1:5" x14ac:dyDescent="0.4">
      <c r="A40">
        <v>0.5</v>
      </c>
      <c r="B40">
        <v>0</v>
      </c>
      <c r="C40">
        <v>5</v>
      </c>
      <c r="D40">
        <v>4</v>
      </c>
      <c r="E40">
        <v>10</v>
      </c>
    </row>
    <row r="41" spans="1:5" x14ac:dyDescent="0.4">
      <c r="A41">
        <v>0</v>
      </c>
      <c r="B41">
        <v>0</v>
      </c>
      <c r="C41">
        <v>2</v>
      </c>
      <c r="D41">
        <v>3</v>
      </c>
      <c r="E41">
        <v>9</v>
      </c>
    </row>
    <row r="42" spans="1:5" x14ac:dyDescent="0.4">
      <c r="A42">
        <v>0</v>
      </c>
      <c r="B42">
        <v>0</v>
      </c>
      <c r="C42">
        <v>4</v>
      </c>
      <c r="D42">
        <v>3</v>
      </c>
      <c r="E42">
        <v>14</v>
      </c>
    </row>
    <row r="43" spans="1:5" x14ac:dyDescent="0.4">
      <c r="A43">
        <v>8.5</v>
      </c>
      <c r="B43">
        <v>1</v>
      </c>
      <c r="C43">
        <v>6</v>
      </c>
      <c r="D43">
        <v>1</v>
      </c>
      <c r="E43">
        <v>9</v>
      </c>
    </row>
    <row r="44" spans="1:5" x14ac:dyDescent="0.4">
      <c r="A44">
        <v>8.5</v>
      </c>
      <c r="B44">
        <v>0</v>
      </c>
      <c r="C44">
        <v>0</v>
      </c>
      <c r="D44">
        <v>1</v>
      </c>
      <c r="E44">
        <v>15</v>
      </c>
    </row>
    <row r="45" spans="1:5" x14ac:dyDescent="0.4">
      <c r="A45">
        <v>3</v>
      </c>
      <c r="B45">
        <v>0</v>
      </c>
      <c r="C45">
        <v>8</v>
      </c>
      <c r="D45">
        <v>1</v>
      </c>
      <c r="E45">
        <v>16</v>
      </c>
    </row>
    <row r="46" spans="1:5" x14ac:dyDescent="0.4">
      <c r="A46">
        <v>0</v>
      </c>
      <c r="B46">
        <v>0</v>
      </c>
      <c r="C46">
        <v>4</v>
      </c>
      <c r="D46">
        <v>1</v>
      </c>
      <c r="E46">
        <v>10</v>
      </c>
    </row>
    <row r="47" spans="1:5" x14ac:dyDescent="0.4">
      <c r="A47">
        <v>2.25</v>
      </c>
      <c r="B47">
        <v>0</v>
      </c>
      <c r="C47">
        <v>5</v>
      </c>
      <c r="D47">
        <v>2</v>
      </c>
      <c r="E47">
        <v>11</v>
      </c>
    </row>
    <row r="48" spans="1:5" x14ac:dyDescent="0.4">
      <c r="A48">
        <v>3</v>
      </c>
      <c r="B48">
        <v>0</v>
      </c>
      <c r="C48">
        <v>10</v>
      </c>
      <c r="D48">
        <v>1</v>
      </c>
      <c r="E48">
        <v>10</v>
      </c>
    </row>
    <row r="49" spans="1:5" x14ac:dyDescent="0.4">
      <c r="A49">
        <v>9.75</v>
      </c>
      <c r="B49">
        <v>0</v>
      </c>
      <c r="C49">
        <v>0</v>
      </c>
      <c r="D49">
        <v>1</v>
      </c>
      <c r="E49">
        <v>16</v>
      </c>
    </row>
    <row r="50" spans="1:5" x14ac:dyDescent="0.4">
      <c r="A50">
        <v>2.5</v>
      </c>
      <c r="B50">
        <v>0</v>
      </c>
      <c r="C50">
        <v>2</v>
      </c>
      <c r="D50">
        <v>2</v>
      </c>
      <c r="E50">
        <v>13</v>
      </c>
    </row>
    <row r="51" spans="1:5" x14ac:dyDescent="0.4">
      <c r="A51">
        <v>4</v>
      </c>
      <c r="B51">
        <v>0</v>
      </c>
      <c r="C51">
        <v>0</v>
      </c>
      <c r="D51">
        <v>1</v>
      </c>
      <c r="E51">
        <v>11</v>
      </c>
    </row>
    <row r="52" spans="1:5" x14ac:dyDescent="0.4">
      <c r="A52">
        <v>0.5</v>
      </c>
      <c r="B52">
        <v>0</v>
      </c>
      <c r="C52">
        <v>0</v>
      </c>
      <c r="D52">
        <v>2</v>
      </c>
      <c r="E52">
        <v>17</v>
      </c>
    </row>
    <row r="53" spans="1:5" x14ac:dyDescent="0.4">
      <c r="A53">
        <v>0</v>
      </c>
      <c r="B53">
        <v>0</v>
      </c>
      <c r="C53">
        <v>2</v>
      </c>
      <c r="D53">
        <v>1</v>
      </c>
      <c r="E53">
        <v>17</v>
      </c>
    </row>
    <row r="54" spans="1:5" x14ac:dyDescent="0.4">
      <c r="A54">
        <v>8.25</v>
      </c>
      <c r="B54">
        <v>0</v>
      </c>
      <c r="C54">
        <v>0</v>
      </c>
      <c r="D54">
        <v>2</v>
      </c>
      <c r="E54">
        <v>12</v>
      </c>
    </row>
    <row r="55" spans="1:5" x14ac:dyDescent="0.4">
      <c r="A55">
        <v>0.25</v>
      </c>
      <c r="B55">
        <v>0</v>
      </c>
      <c r="C55">
        <v>8</v>
      </c>
      <c r="D55">
        <v>3</v>
      </c>
      <c r="E55">
        <v>15</v>
      </c>
    </row>
    <row r="56" spans="1:5" x14ac:dyDescent="0.4">
      <c r="A56">
        <v>8.75</v>
      </c>
      <c r="B56">
        <v>0</v>
      </c>
      <c r="C56">
        <v>8</v>
      </c>
      <c r="D56">
        <v>2</v>
      </c>
      <c r="E56">
        <v>14</v>
      </c>
    </row>
    <row r="57" spans="1:5" x14ac:dyDescent="0.4">
      <c r="A57">
        <v>0.75</v>
      </c>
      <c r="B57">
        <v>0</v>
      </c>
      <c r="C57">
        <v>0</v>
      </c>
      <c r="D57">
        <v>1</v>
      </c>
      <c r="E57">
        <v>10</v>
      </c>
    </row>
    <row r="58" spans="1:5" x14ac:dyDescent="0.4">
      <c r="A58">
        <v>3</v>
      </c>
      <c r="B58">
        <v>0</v>
      </c>
      <c r="C58">
        <v>8</v>
      </c>
      <c r="D58">
        <v>2</v>
      </c>
      <c r="E58">
        <v>10</v>
      </c>
    </row>
    <row r="59" spans="1:5" x14ac:dyDescent="0.4">
      <c r="A59">
        <v>0</v>
      </c>
      <c r="B59">
        <v>0</v>
      </c>
      <c r="C59">
        <v>2</v>
      </c>
      <c r="D59">
        <v>2</v>
      </c>
      <c r="E59">
        <v>13</v>
      </c>
    </row>
    <row r="60" spans="1:5" x14ac:dyDescent="0.4">
      <c r="A60">
        <v>5.75</v>
      </c>
      <c r="B60">
        <v>0</v>
      </c>
      <c r="C60">
        <v>2</v>
      </c>
      <c r="D60">
        <v>1</v>
      </c>
      <c r="E60">
        <v>10</v>
      </c>
    </row>
    <row r="61" spans="1:5" x14ac:dyDescent="0.4">
      <c r="A61">
        <v>2.5</v>
      </c>
      <c r="B61">
        <v>0</v>
      </c>
      <c r="C61">
        <v>0</v>
      </c>
      <c r="D61">
        <v>2</v>
      </c>
      <c r="E61">
        <v>13</v>
      </c>
    </row>
    <row r="62" spans="1:5" x14ac:dyDescent="0.4">
      <c r="A62">
        <v>0.5</v>
      </c>
      <c r="B62">
        <v>0</v>
      </c>
      <c r="C62">
        <v>4</v>
      </c>
      <c r="D62">
        <v>2</v>
      </c>
      <c r="E62">
        <v>11</v>
      </c>
    </row>
    <row r="63" spans="1:5" x14ac:dyDescent="0.4">
      <c r="A63">
        <v>0.5</v>
      </c>
      <c r="B63">
        <v>0</v>
      </c>
      <c r="C63">
        <v>0</v>
      </c>
      <c r="D63">
        <v>1</v>
      </c>
      <c r="E63">
        <v>11</v>
      </c>
    </row>
    <row r="64" spans="1:5" x14ac:dyDescent="0.4">
      <c r="A64">
        <v>3.5</v>
      </c>
      <c r="B64">
        <v>0</v>
      </c>
      <c r="C64">
        <v>0</v>
      </c>
      <c r="D64">
        <v>1</v>
      </c>
      <c r="E64">
        <v>12</v>
      </c>
    </row>
    <row r="65" spans="1:5" x14ac:dyDescent="0.4">
      <c r="A65">
        <v>4.25</v>
      </c>
      <c r="B65">
        <v>0</v>
      </c>
      <c r="C65">
        <v>0</v>
      </c>
      <c r="D65">
        <v>1</v>
      </c>
      <c r="E65">
        <v>10</v>
      </c>
    </row>
    <row r="66" spans="1:5" x14ac:dyDescent="0.4">
      <c r="A66">
        <v>2.25</v>
      </c>
      <c r="B66">
        <v>0</v>
      </c>
      <c r="C66">
        <v>0</v>
      </c>
      <c r="D66">
        <v>1</v>
      </c>
      <c r="E66">
        <v>16</v>
      </c>
    </row>
    <row r="67" spans="1:5" x14ac:dyDescent="0.4">
      <c r="A67">
        <v>1</v>
      </c>
      <c r="B67">
        <v>0</v>
      </c>
      <c r="C67">
        <v>0</v>
      </c>
      <c r="D67">
        <v>1</v>
      </c>
      <c r="E67">
        <v>10</v>
      </c>
    </row>
    <row r="68" spans="1:5" x14ac:dyDescent="0.4">
      <c r="A68">
        <v>1.25</v>
      </c>
      <c r="B68">
        <v>0</v>
      </c>
      <c r="C68">
        <v>2</v>
      </c>
      <c r="D68">
        <v>2</v>
      </c>
      <c r="E68">
        <v>10</v>
      </c>
    </row>
    <row r="69" spans="1:5" x14ac:dyDescent="0.4">
      <c r="A69">
        <v>1.5</v>
      </c>
      <c r="B69">
        <v>0</v>
      </c>
      <c r="C69">
        <v>8</v>
      </c>
      <c r="D69">
        <v>3</v>
      </c>
      <c r="E69">
        <v>11</v>
      </c>
    </row>
    <row r="70" spans="1:5" x14ac:dyDescent="0.4">
      <c r="A70">
        <v>11</v>
      </c>
      <c r="B70">
        <v>0</v>
      </c>
      <c r="C70">
        <v>10</v>
      </c>
      <c r="D70">
        <v>2</v>
      </c>
      <c r="E70">
        <v>16</v>
      </c>
    </row>
    <row r="71" spans="1:5" x14ac:dyDescent="0.4">
      <c r="A71">
        <v>0.25</v>
      </c>
      <c r="B71">
        <v>1</v>
      </c>
      <c r="C71">
        <v>0</v>
      </c>
      <c r="D71">
        <v>2</v>
      </c>
      <c r="E71">
        <v>0</v>
      </c>
    </row>
    <row r="72" spans="1:5" x14ac:dyDescent="0.4">
      <c r="A72">
        <v>3.25</v>
      </c>
      <c r="B72">
        <v>3</v>
      </c>
      <c r="C72">
        <v>9</v>
      </c>
      <c r="D72">
        <v>5</v>
      </c>
      <c r="E72">
        <v>10</v>
      </c>
    </row>
    <row r="73" spans="1:5" x14ac:dyDescent="0.4">
      <c r="A73">
        <v>4.25</v>
      </c>
      <c r="B73">
        <v>0</v>
      </c>
      <c r="C73">
        <v>10</v>
      </c>
      <c r="D73">
        <v>2</v>
      </c>
      <c r="E73">
        <v>15</v>
      </c>
    </row>
    <row r="74" spans="1:5" x14ac:dyDescent="0.4">
      <c r="A74">
        <v>3.25</v>
      </c>
      <c r="B74">
        <v>0</v>
      </c>
      <c r="C74">
        <v>8</v>
      </c>
      <c r="D74">
        <v>1</v>
      </c>
      <c r="E74">
        <v>16</v>
      </c>
    </row>
    <row r="75" spans="1:5" x14ac:dyDescent="0.4">
      <c r="A75">
        <v>2.25</v>
      </c>
      <c r="B75">
        <v>0</v>
      </c>
      <c r="C75">
        <v>0</v>
      </c>
      <c r="D75">
        <v>1</v>
      </c>
      <c r="E75">
        <v>12</v>
      </c>
    </row>
    <row r="76" spans="1:5" x14ac:dyDescent="0.4">
      <c r="A76">
        <v>2</v>
      </c>
      <c r="B76">
        <v>0</v>
      </c>
      <c r="C76">
        <v>4</v>
      </c>
      <c r="D76">
        <v>1</v>
      </c>
      <c r="E76">
        <v>11</v>
      </c>
    </row>
    <row r="77" spans="1:5" x14ac:dyDescent="0.4">
      <c r="A77">
        <v>1.5</v>
      </c>
      <c r="B77">
        <v>0</v>
      </c>
      <c r="C77">
        <v>11</v>
      </c>
      <c r="D77">
        <v>1</v>
      </c>
      <c r="E77">
        <v>12</v>
      </c>
    </row>
    <row r="78" spans="1:5" x14ac:dyDescent="0.4">
      <c r="A78">
        <v>5.5</v>
      </c>
      <c r="B78">
        <v>0</v>
      </c>
      <c r="C78">
        <v>2</v>
      </c>
      <c r="D78">
        <v>1</v>
      </c>
      <c r="E78">
        <v>12</v>
      </c>
    </row>
    <row r="79" spans="1:5" x14ac:dyDescent="0.4">
      <c r="A79">
        <v>3.25</v>
      </c>
      <c r="B79">
        <v>0</v>
      </c>
      <c r="C79">
        <v>15</v>
      </c>
      <c r="D79">
        <v>4</v>
      </c>
      <c r="E79">
        <v>12</v>
      </c>
    </row>
    <row r="80" spans="1:5" x14ac:dyDescent="0.4">
      <c r="A80">
        <v>4.75</v>
      </c>
      <c r="B80">
        <v>0</v>
      </c>
      <c r="C80">
        <v>0</v>
      </c>
      <c r="D80">
        <v>1</v>
      </c>
      <c r="E80">
        <v>15</v>
      </c>
    </row>
    <row r="81" spans="1:5" x14ac:dyDescent="0.4">
      <c r="A81">
        <v>0.5</v>
      </c>
      <c r="B81">
        <v>0</v>
      </c>
      <c r="C81">
        <v>2</v>
      </c>
      <c r="D81">
        <v>3</v>
      </c>
      <c r="E81">
        <v>12</v>
      </c>
    </row>
    <row r="82" spans="1:5" x14ac:dyDescent="0.4">
      <c r="A82">
        <v>2.75</v>
      </c>
      <c r="B82">
        <v>3</v>
      </c>
      <c r="C82">
        <v>0</v>
      </c>
      <c r="D82">
        <v>1</v>
      </c>
      <c r="E82">
        <v>8</v>
      </c>
    </row>
    <row r="83" spans="1:5" x14ac:dyDescent="0.4">
      <c r="A83">
        <v>5.75</v>
      </c>
      <c r="B83">
        <v>0</v>
      </c>
      <c r="C83">
        <v>10</v>
      </c>
      <c r="D83">
        <v>4</v>
      </c>
      <c r="E83">
        <v>11</v>
      </c>
    </row>
    <row r="84" spans="1:5" x14ac:dyDescent="0.4">
      <c r="A84">
        <v>1.25</v>
      </c>
      <c r="B84">
        <v>0</v>
      </c>
      <c r="C84">
        <v>4</v>
      </c>
      <c r="D84">
        <v>1</v>
      </c>
      <c r="E84">
        <v>11</v>
      </c>
    </row>
    <row r="85" spans="1:5" x14ac:dyDescent="0.4">
      <c r="A85">
        <v>3.75</v>
      </c>
      <c r="B85">
        <v>0</v>
      </c>
      <c r="C85">
        <v>0</v>
      </c>
      <c r="D85">
        <v>5</v>
      </c>
      <c r="E85">
        <v>16</v>
      </c>
    </row>
    <row r="86" spans="1:5" x14ac:dyDescent="0.4">
      <c r="A86">
        <v>2.5</v>
      </c>
      <c r="B86">
        <v>0</v>
      </c>
      <c r="C86">
        <v>0</v>
      </c>
      <c r="D86">
        <v>1</v>
      </c>
      <c r="E86">
        <v>12</v>
      </c>
    </row>
    <row r="87" spans="1:5" x14ac:dyDescent="0.4">
      <c r="A87">
        <v>3.5</v>
      </c>
      <c r="B87">
        <v>0</v>
      </c>
      <c r="C87">
        <v>2</v>
      </c>
      <c r="D87">
        <v>1</v>
      </c>
      <c r="E87">
        <v>13</v>
      </c>
    </row>
    <row r="88" spans="1:5" x14ac:dyDescent="0.4">
      <c r="A88">
        <v>9.75</v>
      </c>
      <c r="B88">
        <v>0</v>
      </c>
      <c r="C88">
        <v>0</v>
      </c>
      <c r="D88">
        <v>2</v>
      </c>
      <c r="E88">
        <v>13</v>
      </c>
    </row>
    <row r="89" spans="1:5" x14ac:dyDescent="0.4">
      <c r="A89">
        <v>0.25</v>
      </c>
      <c r="B89">
        <v>3</v>
      </c>
      <c r="C89">
        <v>4</v>
      </c>
      <c r="D89">
        <v>2</v>
      </c>
      <c r="E89">
        <v>9</v>
      </c>
    </row>
    <row r="90" spans="1:5" x14ac:dyDescent="0.4">
      <c r="A90">
        <v>3.75</v>
      </c>
      <c r="B90">
        <v>2</v>
      </c>
      <c r="C90">
        <v>2</v>
      </c>
      <c r="D90">
        <v>1</v>
      </c>
      <c r="E90">
        <v>8</v>
      </c>
    </row>
    <row r="91" spans="1:5" x14ac:dyDescent="0.4">
      <c r="A91">
        <v>1.5</v>
      </c>
      <c r="B91">
        <v>0</v>
      </c>
      <c r="C91">
        <v>0</v>
      </c>
      <c r="D91">
        <v>2</v>
      </c>
      <c r="E91">
        <v>10</v>
      </c>
    </row>
    <row r="92" spans="1:5" x14ac:dyDescent="0.4">
      <c r="A92">
        <v>14.25</v>
      </c>
      <c r="B92">
        <v>0</v>
      </c>
      <c r="C92">
        <v>6</v>
      </c>
      <c r="D92">
        <v>1</v>
      </c>
      <c r="E92">
        <v>13</v>
      </c>
    </row>
    <row r="93" spans="1:5" x14ac:dyDescent="0.4">
      <c r="A93">
        <v>2.25</v>
      </c>
      <c r="B93">
        <v>0</v>
      </c>
      <c r="C93">
        <v>10</v>
      </c>
      <c r="D93">
        <v>3</v>
      </c>
      <c r="E93">
        <v>10</v>
      </c>
    </row>
    <row r="94" spans="1:5" x14ac:dyDescent="0.4">
      <c r="A94">
        <v>3.75</v>
      </c>
      <c r="B94">
        <v>0</v>
      </c>
      <c r="C94">
        <v>0</v>
      </c>
      <c r="D94">
        <v>1</v>
      </c>
      <c r="E94">
        <v>13</v>
      </c>
    </row>
    <row r="95" spans="1:5" x14ac:dyDescent="0.4">
      <c r="A95">
        <v>4.25</v>
      </c>
      <c r="B95">
        <v>0</v>
      </c>
      <c r="C95">
        <v>0</v>
      </c>
      <c r="D95">
        <v>2</v>
      </c>
      <c r="E95">
        <v>16</v>
      </c>
    </row>
    <row r="96" spans="1:5" x14ac:dyDescent="0.4">
      <c r="A96">
        <v>4</v>
      </c>
      <c r="B96">
        <v>0</v>
      </c>
      <c r="C96">
        <v>6</v>
      </c>
      <c r="D96">
        <v>2</v>
      </c>
      <c r="E96">
        <v>13</v>
      </c>
    </row>
    <row r="97" spans="1:5" x14ac:dyDescent="0.4">
      <c r="A97">
        <v>7.5</v>
      </c>
      <c r="B97">
        <v>0</v>
      </c>
      <c r="C97">
        <v>0</v>
      </c>
      <c r="D97">
        <v>2</v>
      </c>
      <c r="E97">
        <v>17</v>
      </c>
    </row>
    <row r="98" spans="1:5" x14ac:dyDescent="0.4">
      <c r="A98">
        <v>0.75</v>
      </c>
      <c r="B98">
        <v>0</v>
      </c>
      <c r="C98">
        <v>0</v>
      </c>
      <c r="D98">
        <v>1</v>
      </c>
      <c r="E98">
        <v>10</v>
      </c>
    </row>
    <row r="99" spans="1:5" x14ac:dyDescent="0.4">
      <c r="A99">
        <v>9</v>
      </c>
      <c r="B99">
        <v>0</v>
      </c>
      <c r="C99">
        <v>0</v>
      </c>
      <c r="D99">
        <v>2</v>
      </c>
      <c r="E99">
        <v>13</v>
      </c>
    </row>
    <row r="100" spans="1:5" x14ac:dyDescent="0.4">
      <c r="A100">
        <v>0.25</v>
      </c>
      <c r="B100">
        <v>1</v>
      </c>
      <c r="C100">
        <v>0</v>
      </c>
      <c r="D100">
        <v>3</v>
      </c>
      <c r="E100">
        <v>10</v>
      </c>
    </row>
    <row r="101" spans="1:5" x14ac:dyDescent="0.4">
      <c r="A101">
        <v>2.25</v>
      </c>
      <c r="B101">
        <v>0</v>
      </c>
      <c r="C101">
        <v>12</v>
      </c>
      <c r="D101">
        <v>1</v>
      </c>
      <c r="E101">
        <v>10</v>
      </c>
    </row>
    <row r="102" spans="1:5" x14ac:dyDescent="0.4">
      <c r="A102">
        <v>3</v>
      </c>
      <c r="B102">
        <v>0</v>
      </c>
      <c r="C102">
        <v>2</v>
      </c>
      <c r="D102">
        <v>2</v>
      </c>
      <c r="E102">
        <v>17</v>
      </c>
    </row>
    <row r="103" spans="1:5" x14ac:dyDescent="0.4">
      <c r="A103">
        <v>6.25</v>
      </c>
      <c r="B103">
        <v>0</v>
      </c>
      <c r="C103">
        <v>4</v>
      </c>
      <c r="D103">
        <v>1</v>
      </c>
      <c r="E103">
        <v>17</v>
      </c>
    </row>
    <row r="104" spans="1:5" x14ac:dyDescent="0.4">
      <c r="A104">
        <v>0</v>
      </c>
      <c r="B104">
        <v>0</v>
      </c>
      <c r="C104">
        <v>8</v>
      </c>
      <c r="D104">
        <v>1</v>
      </c>
      <c r="E104">
        <v>12</v>
      </c>
    </row>
    <row r="105" spans="1:5" x14ac:dyDescent="0.4">
      <c r="A105">
        <v>1.25</v>
      </c>
      <c r="B105">
        <v>0</v>
      </c>
      <c r="C105">
        <v>2</v>
      </c>
      <c r="D105">
        <v>2</v>
      </c>
      <c r="E105">
        <v>12</v>
      </c>
    </row>
    <row r="106" spans="1:5" x14ac:dyDescent="0.4">
      <c r="A106">
        <v>1</v>
      </c>
      <c r="B106">
        <v>0</v>
      </c>
      <c r="C106">
        <v>8</v>
      </c>
      <c r="D106">
        <v>2</v>
      </c>
      <c r="E106">
        <v>15</v>
      </c>
    </row>
    <row r="107" spans="1:5" x14ac:dyDescent="0.4">
      <c r="A107">
        <v>0.5</v>
      </c>
      <c r="B107">
        <v>0</v>
      </c>
      <c r="C107">
        <v>4</v>
      </c>
      <c r="D107">
        <v>3</v>
      </c>
      <c r="E107">
        <v>11</v>
      </c>
    </row>
    <row r="108" spans="1:5" x14ac:dyDescent="0.4">
      <c r="A108">
        <v>0.5</v>
      </c>
      <c r="B108">
        <v>0</v>
      </c>
      <c r="C108">
        <v>0</v>
      </c>
      <c r="D108">
        <v>2</v>
      </c>
      <c r="E108">
        <v>12</v>
      </c>
    </row>
    <row r="109" spans="1:5" x14ac:dyDescent="0.4">
      <c r="A109">
        <v>8.75</v>
      </c>
      <c r="B109">
        <v>0</v>
      </c>
      <c r="C109">
        <v>0</v>
      </c>
      <c r="D109">
        <v>1</v>
      </c>
      <c r="E109">
        <v>14</v>
      </c>
    </row>
    <row r="110" spans="1:5" x14ac:dyDescent="0.4">
      <c r="A110">
        <v>1</v>
      </c>
      <c r="B110">
        <v>1</v>
      </c>
      <c r="C110">
        <v>0</v>
      </c>
      <c r="D110">
        <v>1</v>
      </c>
      <c r="E110">
        <v>9</v>
      </c>
    </row>
    <row r="111" spans="1:5" x14ac:dyDescent="0.4">
      <c r="A111">
        <v>0.75</v>
      </c>
      <c r="B111">
        <v>0</v>
      </c>
      <c r="C111">
        <v>0</v>
      </c>
      <c r="D111">
        <v>1</v>
      </c>
      <c r="E111">
        <v>12</v>
      </c>
    </row>
    <row r="112" spans="1:5" x14ac:dyDescent="0.4">
      <c r="A112">
        <v>4</v>
      </c>
      <c r="B112">
        <v>0</v>
      </c>
      <c r="C112">
        <v>0</v>
      </c>
      <c r="D112">
        <v>1</v>
      </c>
      <c r="E112">
        <v>12</v>
      </c>
    </row>
    <row r="113" spans="1:5" x14ac:dyDescent="0.4">
      <c r="A113">
        <v>10</v>
      </c>
      <c r="B113">
        <v>0</v>
      </c>
      <c r="C113">
        <v>0</v>
      </c>
      <c r="D113">
        <v>1</v>
      </c>
      <c r="E113">
        <v>17</v>
      </c>
    </row>
    <row r="114" spans="1:5" x14ac:dyDescent="0.4">
      <c r="A114">
        <v>6</v>
      </c>
      <c r="B114">
        <v>1</v>
      </c>
      <c r="C114">
        <v>14</v>
      </c>
      <c r="D114">
        <v>3</v>
      </c>
      <c r="E114">
        <v>8</v>
      </c>
    </row>
    <row r="115" spans="1:5" x14ac:dyDescent="0.4">
      <c r="A115">
        <v>3.25</v>
      </c>
      <c r="B115">
        <v>0</v>
      </c>
      <c r="C115">
        <v>16</v>
      </c>
      <c r="D115">
        <v>3</v>
      </c>
      <c r="E115">
        <v>12</v>
      </c>
    </row>
    <row r="116" spans="1:5" x14ac:dyDescent="0.4">
      <c r="A116">
        <v>0.25</v>
      </c>
      <c r="B116">
        <v>0</v>
      </c>
      <c r="C116">
        <v>6</v>
      </c>
      <c r="D116">
        <v>1</v>
      </c>
      <c r="E116">
        <v>11</v>
      </c>
    </row>
    <row r="117" spans="1:5" x14ac:dyDescent="0.4">
      <c r="A117">
        <v>1.75</v>
      </c>
      <c r="B117">
        <v>1</v>
      </c>
      <c r="C117">
        <v>4</v>
      </c>
      <c r="D117">
        <v>3</v>
      </c>
      <c r="E117">
        <v>10</v>
      </c>
    </row>
    <row r="118" spans="1:5" x14ac:dyDescent="0.4">
      <c r="A118">
        <v>5.5</v>
      </c>
      <c r="B118">
        <v>0</v>
      </c>
      <c r="C118">
        <v>0</v>
      </c>
      <c r="D118">
        <v>1</v>
      </c>
      <c r="E118">
        <v>18</v>
      </c>
    </row>
    <row r="119" spans="1:5" x14ac:dyDescent="0.4">
      <c r="A119">
        <v>2.75</v>
      </c>
      <c r="B119">
        <v>0</v>
      </c>
      <c r="C119">
        <v>0</v>
      </c>
      <c r="D119">
        <v>3</v>
      </c>
      <c r="E119">
        <v>14</v>
      </c>
    </row>
    <row r="120" spans="1:5" x14ac:dyDescent="0.4">
      <c r="A120">
        <v>0.75</v>
      </c>
      <c r="B120">
        <v>0</v>
      </c>
      <c r="C120">
        <v>6</v>
      </c>
      <c r="D120">
        <v>2</v>
      </c>
      <c r="E120">
        <v>12</v>
      </c>
    </row>
    <row r="121" spans="1:5" x14ac:dyDescent="0.4">
      <c r="A121">
        <v>3.5</v>
      </c>
      <c r="B121">
        <v>1</v>
      </c>
      <c r="C121">
        <v>2</v>
      </c>
      <c r="D121">
        <v>1</v>
      </c>
      <c r="E121">
        <v>11</v>
      </c>
    </row>
    <row r="122" spans="1:5" x14ac:dyDescent="0.4">
      <c r="A122">
        <v>7.5</v>
      </c>
      <c r="B122">
        <v>0</v>
      </c>
      <c r="C122">
        <v>6</v>
      </c>
      <c r="D122">
        <v>1</v>
      </c>
      <c r="E122">
        <v>17</v>
      </c>
    </row>
    <row r="123" spans="1:5" x14ac:dyDescent="0.4">
      <c r="A123">
        <v>1.25</v>
      </c>
      <c r="B123">
        <v>0</v>
      </c>
      <c r="C123">
        <v>8</v>
      </c>
      <c r="D123">
        <v>3</v>
      </c>
      <c r="E123">
        <v>7</v>
      </c>
    </row>
    <row r="124" spans="1:5" x14ac:dyDescent="0.4">
      <c r="A124">
        <v>2.5</v>
      </c>
      <c r="B124">
        <v>0</v>
      </c>
      <c r="C124">
        <v>0</v>
      </c>
      <c r="D124">
        <v>2</v>
      </c>
      <c r="E124">
        <v>9</v>
      </c>
    </row>
    <row r="125" spans="1:5" x14ac:dyDescent="0.4">
      <c r="A125">
        <v>2</v>
      </c>
      <c r="B125">
        <v>0</v>
      </c>
      <c r="C125">
        <v>2</v>
      </c>
      <c r="D125">
        <v>1</v>
      </c>
      <c r="E125">
        <v>14</v>
      </c>
    </row>
    <row r="126" spans="1:5" x14ac:dyDescent="0.4">
      <c r="A126">
        <v>13</v>
      </c>
      <c r="B126">
        <v>0</v>
      </c>
      <c r="C126">
        <v>0</v>
      </c>
      <c r="D126">
        <v>1</v>
      </c>
      <c r="E126">
        <v>19</v>
      </c>
    </row>
    <row r="127" spans="1:5" x14ac:dyDescent="0.4">
      <c r="A127">
        <v>4.75</v>
      </c>
      <c r="B127">
        <v>0</v>
      </c>
      <c r="C127">
        <v>6</v>
      </c>
      <c r="D127">
        <v>3</v>
      </c>
      <c r="E127">
        <v>16</v>
      </c>
    </row>
    <row r="128" spans="1:5" x14ac:dyDescent="0.4">
      <c r="A128">
        <v>0</v>
      </c>
      <c r="B128">
        <v>1</v>
      </c>
      <c r="C128">
        <v>4</v>
      </c>
      <c r="D128">
        <v>3</v>
      </c>
      <c r="E128">
        <v>10</v>
      </c>
    </row>
    <row r="129" spans="1:5" x14ac:dyDescent="0.4">
      <c r="A129">
        <v>2.5</v>
      </c>
      <c r="B129">
        <v>1</v>
      </c>
      <c r="C129">
        <v>4</v>
      </c>
      <c r="D129">
        <v>1</v>
      </c>
      <c r="E129">
        <v>9</v>
      </c>
    </row>
    <row r="130" spans="1:5" x14ac:dyDescent="0.4">
      <c r="A130">
        <v>1.5</v>
      </c>
      <c r="B130">
        <v>0</v>
      </c>
      <c r="C130">
        <v>6</v>
      </c>
      <c r="D130">
        <v>3</v>
      </c>
      <c r="E130">
        <v>8</v>
      </c>
    </row>
    <row r="131" spans="1:5" x14ac:dyDescent="0.4">
      <c r="A131">
        <v>1</v>
      </c>
      <c r="B131">
        <v>0</v>
      </c>
      <c r="C131">
        <v>4</v>
      </c>
      <c r="D131">
        <v>1</v>
      </c>
      <c r="E131">
        <v>13</v>
      </c>
    </row>
    <row r="132" spans="1:5" x14ac:dyDescent="0.4">
      <c r="A132">
        <v>11.5</v>
      </c>
      <c r="B132">
        <v>0</v>
      </c>
      <c r="C132">
        <v>0</v>
      </c>
      <c r="D132">
        <v>5</v>
      </c>
      <c r="E132">
        <v>12</v>
      </c>
    </row>
    <row r="133" spans="1:5" x14ac:dyDescent="0.4">
      <c r="A133">
        <v>4.5</v>
      </c>
      <c r="B133">
        <v>1</v>
      </c>
      <c r="C133">
        <v>0</v>
      </c>
      <c r="D133">
        <v>1</v>
      </c>
      <c r="E133">
        <v>10</v>
      </c>
    </row>
    <row r="134" spans="1:5" x14ac:dyDescent="0.4">
      <c r="A134">
        <v>2.25</v>
      </c>
      <c r="B134">
        <v>0</v>
      </c>
      <c r="C134">
        <v>0</v>
      </c>
      <c r="D134">
        <v>2</v>
      </c>
      <c r="E134">
        <v>15</v>
      </c>
    </row>
    <row r="135" spans="1:5" x14ac:dyDescent="0.4">
      <c r="A135">
        <v>4.25</v>
      </c>
      <c r="B135">
        <v>0</v>
      </c>
      <c r="C135">
        <v>4</v>
      </c>
      <c r="D135">
        <v>1</v>
      </c>
      <c r="E135">
        <v>14</v>
      </c>
    </row>
    <row r="136" spans="1:5" x14ac:dyDescent="0.4">
      <c r="A136">
        <v>3</v>
      </c>
      <c r="B136">
        <v>0</v>
      </c>
      <c r="C136">
        <v>0</v>
      </c>
      <c r="D136">
        <v>3</v>
      </c>
      <c r="E136">
        <v>9</v>
      </c>
    </row>
    <row r="137" spans="1:5" x14ac:dyDescent="0.4">
      <c r="A137">
        <v>1.75</v>
      </c>
      <c r="B137">
        <v>0</v>
      </c>
      <c r="C137">
        <v>4</v>
      </c>
      <c r="D137">
        <v>5</v>
      </c>
      <c r="E137">
        <v>11</v>
      </c>
    </row>
    <row r="138" spans="1:5" x14ac:dyDescent="0.4">
      <c r="A138">
        <v>6.75</v>
      </c>
      <c r="B138">
        <v>0</v>
      </c>
      <c r="C138">
        <v>12</v>
      </c>
      <c r="D138">
        <v>1</v>
      </c>
      <c r="E138">
        <v>12</v>
      </c>
    </row>
    <row r="139" spans="1:5" x14ac:dyDescent="0.4">
      <c r="A139">
        <v>8.5</v>
      </c>
      <c r="B139">
        <v>0</v>
      </c>
      <c r="C139">
        <v>0</v>
      </c>
      <c r="D139">
        <v>1</v>
      </c>
      <c r="E139">
        <v>18</v>
      </c>
    </row>
    <row r="140" spans="1:5" x14ac:dyDescent="0.4">
      <c r="A140">
        <v>3.5</v>
      </c>
      <c r="B140">
        <v>0</v>
      </c>
      <c r="C140">
        <v>0</v>
      </c>
      <c r="D140">
        <v>1</v>
      </c>
      <c r="E140">
        <v>18</v>
      </c>
    </row>
    <row r="141" spans="1:5" x14ac:dyDescent="0.4">
      <c r="A141">
        <v>0.75</v>
      </c>
      <c r="B141">
        <v>0</v>
      </c>
      <c r="C141">
        <v>4</v>
      </c>
      <c r="D141">
        <v>1</v>
      </c>
      <c r="E141">
        <v>15</v>
      </c>
    </row>
    <row r="142" spans="1:5" x14ac:dyDescent="0.4">
      <c r="A142">
        <v>2</v>
      </c>
      <c r="B142">
        <v>0</v>
      </c>
      <c r="C142">
        <v>0</v>
      </c>
      <c r="D142">
        <v>1</v>
      </c>
      <c r="E142">
        <v>17</v>
      </c>
    </row>
    <row r="143" spans="1:5" x14ac:dyDescent="0.4">
      <c r="A143">
        <v>4</v>
      </c>
      <c r="B143">
        <v>0</v>
      </c>
      <c r="C143">
        <v>0</v>
      </c>
      <c r="D143">
        <v>1</v>
      </c>
      <c r="E143">
        <v>11</v>
      </c>
    </row>
    <row r="144" spans="1:5" x14ac:dyDescent="0.4">
      <c r="A144">
        <v>1.25</v>
      </c>
      <c r="B144">
        <v>0</v>
      </c>
      <c r="C144">
        <v>0</v>
      </c>
      <c r="D144">
        <v>2</v>
      </c>
      <c r="E144">
        <v>14</v>
      </c>
    </row>
    <row r="145" spans="1:5" x14ac:dyDescent="0.4">
      <c r="A145">
        <v>1</v>
      </c>
      <c r="B145">
        <v>0</v>
      </c>
      <c r="C145">
        <v>2</v>
      </c>
      <c r="D145">
        <v>2</v>
      </c>
      <c r="E145">
        <v>12</v>
      </c>
    </row>
    <row r="146" spans="1:5" x14ac:dyDescent="0.4">
      <c r="A146">
        <v>2</v>
      </c>
      <c r="B146">
        <v>0</v>
      </c>
      <c r="C146">
        <v>0</v>
      </c>
      <c r="D146">
        <v>1</v>
      </c>
      <c r="E146">
        <v>14</v>
      </c>
    </row>
    <row r="147" spans="1:5" x14ac:dyDescent="0.4">
      <c r="A147">
        <v>0</v>
      </c>
      <c r="B147">
        <v>0</v>
      </c>
      <c r="C147">
        <v>4</v>
      </c>
      <c r="D147">
        <v>2</v>
      </c>
      <c r="E147">
        <v>9</v>
      </c>
    </row>
    <row r="148" spans="1:5" x14ac:dyDescent="0.4">
      <c r="A148">
        <v>0.5</v>
      </c>
      <c r="B148">
        <v>2</v>
      </c>
      <c r="C148">
        <v>4</v>
      </c>
      <c r="D148">
        <v>3</v>
      </c>
      <c r="E148">
        <v>6</v>
      </c>
    </row>
    <row r="149" spans="1:5" x14ac:dyDescent="0.4">
      <c r="A149">
        <v>4</v>
      </c>
      <c r="B149">
        <v>0</v>
      </c>
      <c r="C149">
        <v>0</v>
      </c>
      <c r="D149">
        <v>1</v>
      </c>
      <c r="E149">
        <v>11</v>
      </c>
    </row>
    <row r="150" spans="1:5" x14ac:dyDescent="0.4">
      <c r="A150">
        <v>0</v>
      </c>
      <c r="B150">
        <v>1</v>
      </c>
      <c r="C150">
        <v>0</v>
      </c>
      <c r="D150">
        <v>1</v>
      </c>
      <c r="E150">
        <v>10</v>
      </c>
    </row>
    <row r="151" spans="1:5" x14ac:dyDescent="0.4">
      <c r="A151">
        <v>4</v>
      </c>
      <c r="B151">
        <v>0</v>
      </c>
      <c r="C151">
        <v>4</v>
      </c>
      <c r="D151">
        <v>1</v>
      </c>
      <c r="E151">
        <v>8</v>
      </c>
    </row>
    <row r="152" spans="1:5" x14ac:dyDescent="0.4">
      <c r="A152">
        <v>4.75</v>
      </c>
      <c r="B152">
        <v>0</v>
      </c>
      <c r="C152">
        <v>0</v>
      </c>
      <c r="D152">
        <v>3</v>
      </c>
      <c r="E152">
        <v>12</v>
      </c>
    </row>
    <row r="153" spans="1:5" x14ac:dyDescent="0.4">
      <c r="A153">
        <v>1.25</v>
      </c>
      <c r="B153">
        <v>0</v>
      </c>
      <c r="C153">
        <v>0</v>
      </c>
      <c r="D153">
        <v>3</v>
      </c>
      <c r="E153">
        <v>10</v>
      </c>
    </row>
    <row r="154" spans="1:5" x14ac:dyDescent="0.4">
      <c r="A154">
        <v>2</v>
      </c>
      <c r="B154">
        <v>0</v>
      </c>
      <c r="C154">
        <v>0</v>
      </c>
      <c r="D154">
        <v>1</v>
      </c>
      <c r="E154">
        <v>14</v>
      </c>
    </row>
    <row r="155" spans="1:5" x14ac:dyDescent="0.4">
      <c r="A155">
        <v>4.75</v>
      </c>
      <c r="B155">
        <v>0</v>
      </c>
      <c r="C155">
        <v>6</v>
      </c>
      <c r="D155">
        <v>2</v>
      </c>
      <c r="E155">
        <v>12</v>
      </c>
    </row>
    <row r="156" spans="1:5" x14ac:dyDescent="0.4">
      <c r="A156">
        <v>1.25</v>
      </c>
      <c r="B156">
        <v>1</v>
      </c>
      <c r="C156">
        <v>6</v>
      </c>
      <c r="D156">
        <v>4</v>
      </c>
      <c r="E156">
        <v>10</v>
      </c>
    </row>
    <row r="157" spans="1:5" x14ac:dyDescent="0.4">
      <c r="A157">
        <v>0.25</v>
      </c>
      <c r="B157">
        <v>3</v>
      </c>
      <c r="C157">
        <v>2</v>
      </c>
      <c r="D157">
        <v>2</v>
      </c>
      <c r="E157">
        <v>8</v>
      </c>
    </row>
    <row r="158" spans="1:5" x14ac:dyDescent="0.4">
      <c r="A158">
        <v>4.5</v>
      </c>
      <c r="B158">
        <v>0</v>
      </c>
      <c r="C158">
        <v>16</v>
      </c>
      <c r="D158">
        <v>3</v>
      </c>
      <c r="E158">
        <v>10</v>
      </c>
    </row>
    <row r="159" spans="1:5" x14ac:dyDescent="0.4">
      <c r="A159">
        <v>8.5</v>
      </c>
      <c r="B159">
        <v>1</v>
      </c>
      <c r="C159">
        <v>4</v>
      </c>
      <c r="D159">
        <v>1</v>
      </c>
      <c r="E159">
        <v>10</v>
      </c>
    </row>
    <row r="160" spans="1:5" x14ac:dyDescent="0.4">
      <c r="A160">
        <v>14.75</v>
      </c>
      <c r="B160">
        <v>0</v>
      </c>
      <c r="C160">
        <v>4</v>
      </c>
      <c r="D160">
        <v>1</v>
      </c>
      <c r="E160">
        <v>15</v>
      </c>
    </row>
    <row r="161" spans="1:5" x14ac:dyDescent="0.4">
      <c r="A161">
        <v>0.75</v>
      </c>
      <c r="B161">
        <v>0</v>
      </c>
      <c r="C161">
        <v>0</v>
      </c>
      <c r="D161">
        <v>4</v>
      </c>
      <c r="E161">
        <v>10</v>
      </c>
    </row>
    <row r="162" spans="1:5" x14ac:dyDescent="0.4">
      <c r="A162">
        <v>0.5</v>
      </c>
      <c r="B162">
        <v>0</v>
      </c>
      <c r="C162">
        <v>6</v>
      </c>
      <c r="D162">
        <v>1</v>
      </c>
      <c r="E162">
        <v>15</v>
      </c>
    </row>
    <row r="163" spans="1:5" x14ac:dyDescent="0.4">
      <c r="A163">
        <v>3</v>
      </c>
      <c r="B163">
        <v>0</v>
      </c>
      <c r="C163">
        <v>16</v>
      </c>
      <c r="D163">
        <v>1</v>
      </c>
      <c r="E163">
        <v>10</v>
      </c>
    </row>
    <row r="164" spans="1:5" x14ac:dyDescent="0.4">
      <c r="A164">
        <v>0.75</v>
      </c>
      <c r="B164">
        <v>0</v>
      </c>
      <c r="C164">
        <v>0</v>
      </c>
      <c r="D164">
        <v>1</v>
      </c>
      <c r="E164">
        <v>13</v>
      </c>
    </row>
    <row r="165" spans="1:5" x14ac:dyDescent="0.4">
      <c r="A165">
        <v>4.25</v>
      </c>
      <c r="B165">
        <v>0</v>
      </c>
      <c r="C165">
        <v>8</v>
      </c>
      <c r="D165">
        <v>1</v>
      </c>
      <c r="E165">
        <v>12</v>
      </c>
    </row>
    <row r="166" spans="1:5" x14ac:dyDescent="0.4">
      <c r="A166">
        <v>8.25</v>
      </c>
      <c r="B166">
        <v>0</v>
      </c>
      <c r="C166">
        <v>0</v>
      </c>
      <c r="D166">
        <v>1</v>
      </c>
      <c r="E166">
        <v>12</v>
      </c>
    </row>
    <row r="167" spans="1:5" x14ac:dyDescent="0.4">
      <c r="A167">
        <v>0.5</v>
      </c>
      <c r="B167">
        <v>1</v>
      </c>
      <c r="C167">
        <v>14</v>
      </c>
      <c r="D167">
        <v>1</v>
      </c>
      <c r="E167">
        <v>8</v>
      </c>
    </row>
    <row r="168" spans="1:5" x14ac:dyDescent="0.4">
      <c r="A168">
        <v>0.75</v>
      </c>
      <c r="B168">
        <v>0</v>
      </c>
      <c r="C168">
        <v>8</v>
      </c>
      <c r="D168">
        <v>5</v>
      </c>
      <c r="E168">
        <v>11</v>
      </c>
    </row>
    <row r="169" spans="1:5" x14ac:dyDescent="0.4">
      <c r="A169">
        <v>4.25</v>
      </c>
      <c r="B169">
        <v>0</v>
      </c>
      <c r="C169">
        <v>4</v>
      </c>
      <c r="D169">
        <v>1</v>
      </c>
      <c r="E169">
        <v>10</v>
      </c>
    </row>
    <row r="170" spans="1:5" x14ac:dyDescent="0.4">
      <c r="A170">
        <v>0.75</v>
      </c>
      <c r="B170">
        <v>0</v>
      </c>
      <c r="C170">
        <v>8</v>
      </c>
      <c r="D170">
        <v>5</v>
      </c>
      <c r="E170">
        <v>9</v>
      </c>
    </row>
    <row r="171" spans="1:5" x14ac:dyDescent="0.4">
      <c r="A171">
        <v>9.25</v>
      </c>
      <c r="B171">
        <v>0</v>
      </c>
      <c r="C171">
        <v>10</v>
      </c>
      <c r="D171">
        <v>2</v>
      </c>
      <c r="E171">
        <v>11</v>
      </c>
    </row>
    <row r="172" spans="1:5" x14ac:dyDescent="0.4">
      <c r="A172">
        <v>2.25</v>
      </c>
      <c r="B172">
        <v>2</v>
      </c>
      <c r="C172">
        <v>0</v>
      </c>
      <c r="D172">
        <v>1</v>
      </c>
      <c r="E172">
        <v>11</v>
      </c>
    </row>
    <row r="173" spans="1:5" x14ac:dyDescent="0.4">
      <c r="A173">
        <v>0</v>
      </c>
      <c r="B173">
        <v>0</v>
      </c>
      <c r="C173">
        <v>0</v>
      </c>
      <c r="D173">
        <v>2</v>
      </c>
      <c r="E173">
        <v>13</v>
      </c>
    </row>
    <row r="174" spans="1:5" x14ac:dyDescent="0.4">
      <c r="A174">
        <v>9.5</v>
      </c>
      <c r="B174">
        <v>0</v>
      </c>
      <c r="C174">
        <v>0</v>
      </c>
      <c r="D174">
        <v>1</v>
      </c>
      <c r="E174">
        <v>11</v>
      </c>
    </row>
    <row r="175" spans="1:5" x14ac:dyDescent="0.4">
      <c r="A175">
        <v>10.25</v>
      </c>
      <c r="B175">
        <v>0</v>
      </c>
      <c r="C175">
        <v>0</v>
      </c>
      <c r="D175">
        <v>1</v>
      </c>
      <c r="E175">
        <v>14</v>
      </c>
    </row>
    <row r="176" spans="1:5" x14ac:dyDescent="0.4">
      <c r="A176">
        <v>10.75</v>
      </c>
      <c r="B176">
        <v>0</v>
      </c>
      <c r="C176">
        <v>4</v>
      </c>
      <c r="D176">
        <v>1</v>
      </c>
      <c r="E176">
        <v>11</v>
      </c>
    </row>
    <row r="177" spans="1:5" x14ac:dyDescent="0.4">
      <c r="A177">
        <v>0.75</v>
      </c>
      <c r="B177">
        <v>0</v>
      </c>
      <c r="C177">
        <v>7</v>
      </c>
      <c r="D177">
        <v>1</v>
      </c>
      <c r="E177">
        <v>15</v>
      </c>
    </row>
    <row r="178" spans="1:5" x14ac:dyDescent="0.4">
      <c r="A178">
        <v>7.75</v>
      </c>
      <c r="B178">
        <v>0</v>
      </c>
      <c r="C178">
        <v>4</v>
      </c>
      <c r="D178">
        <v>1</v>
      </c>
      <c r="E178">
        <v>11</v>
      </c>
    </row>
    <row r="179" spans="1:5" x14ac:dyDescent="0.4">
      <c r="A179">
        <v>1</v>
      </c>
      <c r="B179">
        <v>0</v>
      </c>
      <c r="C179">
        <v>6</v>
      </c>
      <c r="D179">
        <v>2</v>
      </c>
      <c r="E179">
        <v>13</v>
      </c>
    </row>
    <row r="180" spans="1:5" x14ac:dyDescent="0.4">
      <c r="A180">
        <v>2.75</v>
      </c>
      <c r="B180">
        <v>0</v>
      </c>
      <c r="C180">
        <v>2</v>
      </c>
      <c r="D180">
        <v>1</v>
      </c>
      <c r="E180">
        <v>11</v>
      </c>
    </row>
    <row r="181" spans="1:5" x14ac:dyDescent="0.4">
      <c r="A181">
        <v>1</v>
      </c>
      <c r="B181">
        <v>0</v>
      </c>
      <c r="C181">
        <v>0</v>
      </c>
      <c r="D181">
        <v>2</v>
      </c>
      <c r="E181">
        <v>10</v>
      </c>
    </row>
    <row r="182" spans="1:5" x14ac:dyDescent="0.4">
      <c r="A182">
        <v>3.25</v>
      </c>
      <c r="B182">
        <v>0</v>
      </c>
      <c r="C182">
        <v>0</v>
      </c>
      <c r="D182">
        <v>1</v>
      </c>
      <c r="E182">
        <v>18</v>
      </c>
    </row>
    <row r="183" spans="1:5" x14ac:dyDescent="0.4">
      <c r="A183">
        <v>15</v>
      </c>
      <c r="B183">
        <v>0</v>
      </c>
      <c r="C183">
        <v>1</v>
      </c>
      <c r="D183">
        <v>2</v>
      </c>
      <c r="E183">
        <v>13</v>
      </c>
    </row>
    <row r="184" spans="1:5" x14ac:dyDescent="0.4">
      <c r="A184">
        <v>2.75</v>
      </c>
      <c r="B184">
        <v>0</v>
      </c>
      <c r="C184">
        <v>2</v>
      </c>
      <c r="D184">
        <v>4</v>
      </c>
      <c r="E184">
        <v>11</v>
      </c>
    </row>
    <row r="185" spans="1:5" x14ac:dyDescent="0.4">
      <c r="A185">
        <v>3.25</v>
      </c>
      <c r="B185">
        <v>0</v>
      </c>
      <c r="C185">
        <v>0</v>
      </c>
      <c r="D185">
        <v>3</v>
      </c>
      <c r="E185">
        <v>13</v>
      </c>
    </row>
    <row r="186" spans="1:5" x14ac:dyDescent="0.4">
      <c r="A186">
        <v>8</v>
      </c>
      <c r="B186">
        <v>0</v>
      </c>
      <c r="C186">
        <v>4</v>
      </c>
      <c r="D186">
        <v>2</v>
      </c>
      <c r="E186">
        <v>15</v>
      </c>
    </row>
    <row r="187" spans="1:5" x14ac:dyDescent="0.4">
      <c r="A187">
        <v>2.5</v>
      </c>
      <c r="B187">
        <v>0</v>
      </c>
      <c r="C187">
        <v>0</v>
      </c>
      <c r="D187">
        <v>1</v>
      </c>
      <c r="E187">
        <v>13</v>
      </c>
    </row>
    <row r="188" spans="1:5" x14ac:dyDescent="0.4">
      <c r="A188">
        <v>0.5</v>
      </c>
      <c r="B188">
        <v>0</v>
      </c>
      <c r="C188">
        <v>2</v>
      </c>
      <c r="D188">
        <v>2</v>
      </c>
      <c r="E188">
        <v>7</v>
      </c>
    </row>
    <row r="189" spans="1:5" x14ac:dyDescent="0.4">
      <c r="A189">
        <v>3.5</v>
      </c>
      <c r="B189">
        <v>0</v>
      </c>
      <c r="C189">
        <v>0</v>
      </c>
      <c r="D189">
        <v>1</v>
      </c>
      <c r="E189">
        <v>15</v>
      </c>
    </row>
    <row r="190" spans="1:5" x14ac:dyDescent="0.4">
      <c r="A190">
        <v>4.25</v>
      </c>
      <c r="B190">
        <v>0</v>
      </c>
      <c r="C190">
        <v>6</v>
      </c>
      <c r="D190">
        <v>2</v>
      </c>
      <c r="E190">
        <v>14</v>
      </c>
    </row>
    <row r="191" spans="1:5" x14ac:dyDescent="0.4">
      <c r="A191">
        <v>1</v>
      </c>
      <c r="B191">
        <v>0</v>
      </c>
      <c r="C191">
        <v>1</v>
      </c>
      <c r="D191">
        <v>1</v>
      </c>
      <c r="E191">
        <v>14</v>
      </c>
    </row>
    <row r="192" spans="1:5" x14ac:dyDescent="0.4">
      <c r="A192">
        <v>4</v>
      </c>
      <c r="B192">
        <v>0</v>
      </c>
      <c r="C192">
        <v>0</v>
      </c>
      <c r="D192">
        <v>1</v>
      </c>
      <c r="E192">
        <v>12</v>
      </c>
    </row>
    <row r="193" spans="1:5" x14ac:dyDescent="0.4">
      <c r="A193">
        <v>3.75</v>
      </c>
      <c r="B193">
        <v>0</v>
      </c>
      <c r="C193">
        <v>4</v>
      </c>
      <c r="D193">
        <v>1</v>
      </c>
      <c r="E193">
        <v>16</v>
      </c>
    </row>
    <row r="194" spans="1:5" x14ac:dyDescent="0.4">
      <c r="A194">
        <v>0.25</v>
      </c>
      <c r="B194">
        <v>0</v>
      </c>
      <c r="C194">
        <v>10</v>
      </c>
      <c r="D194">
        <v>1</v>
      </c>
      <c r="E194">
        <v>18</v>
      </c>
    </row>
    <row r="195" spans="1:5" x14ac:dyDescent="0.4">
      <c r="A195">
        <v>1.75</v>
      </c>
      <c r="B195">
        <v>0</v>
      </c>
      <c r="C195">
        <v>6</v>
      </c>
      <c r="D195">
        <v>3</v>
      </c>
      <c r="E195">
        <v>11</v>
      </c>
    </row>
    <row r="196" spans="1:5" x14ac:dyDescent="0.4">
      <c r="A196">
        <v>4.25</v>
      </c>
      <c r="B196">
        <v>0</v>
      </c>
      <c r="C196">
        <v>4</v>
      </c>
      <c r="D196">
        <v>1</v>
      </c>
      <c r="E196">
        <v>16</v>
      </c>
    </row>
    <row r="197" spans="1:5" x14ac:dyDescent="0.4">
      <c r="A197">
        <v>3.75</v>
      </c>
      <c r="B197">
        <v>0</v>
      </c>
      <c r="C197">
        <v>0</v>
      </c>
      <c r="D197">
        <v>1</v>
      </c>
      <c r="E197">
        <v>12</v>
      </c>
    </row>
    <row r="198" spans="1:5" x14ac:dyDescent="0.4">
      <c r="A198">
        <v>5.25</v>
      </c>
      <c r="B198">
        <v>0</v>
      </c>
      <c r="C198">
        <v>0</v>
      </c>
      <c r="D198">
        <v>1</v>
      </c>
      <c r="E198">
        <v>13</v>
      </c>
    </row>
    <row r="199" spans="1:5" x14ac:dyDescent="0.4">
      <c r="A199">
        <v>4.75</v>
      </c>
      <c r="B199">
        <v>0</v>
      </c>
      <c r="C199">
        <v>0</v>
      </c>
      <c r="D199">
        <v>1</v>
      </c>
      <c r="E199">
        <v>15</v>
      </c>
    </row>
    <row r="200" spans="1:5" x14ac:dyDescent="0.4">
      <c r="A200">
        <v>4</v>
      </c>
      <c r="B200">
        <v>0</v>
      </c>
      <c r="C200">
        <v>2</v>
      </c>
      <c r="D200">
        <v>2</v>
      </c>
      <c r="E200">
        <v>12</v>
      </c>
    </row>
    <row r="201" spans="1:5" x14ac:dyDescent="0.4">
      <c r="A201">
        <v>1.75</v>
      </c>
      <c r="B201">
        <v>0</v>
      </c>
      <c r="C201">
        <v>2</v>
      </c>
      <c r="D201">
        <v>3</v>
      </c>
      <c r="E201">
        <v>11</v>
      </c>
    </row>
    <row r="202" spans="1:5" x14ac:dyDescent="0.4">
      <c r="A202">
        <v>6.75</v>
      </c>
      <c r="B202">
        <v>0</v>
      </c>
      <c r="C202">
        <v>0</v>
      </c>
      <c r="D202">
        <v>2</v>
      </c>
      <c r="E202">
        <v>15</v>
      </c>
    </row>
    <row r="203" spans="1:5" x14ac:dyDescent="0.4">
      <c r="A203">
        <v>1.5</v>
      </c>
      <c r="B203">
        <v>0</v>
      </c>
      <c r="C203">
        <v>11</v>
      </c>
      <c r="D203">
        <v>2</v>
      </c>
      <c r="E203">
        <v>11</v>
      </c>
    </row>
    <row r="204" spans="1:5" x14ac:dyDescent="0.4">
      <c r="A204">
        <v>3</v>
      </c>
      <c r="B204">
        <v>0</v>
      </c>
      <c r="C204">
        <v>0</v>
      </c>
      <c r="D204">
        <v>3</v>
      </c>
      <c r="E204">
        <v>10</v>
      </c>
    </row>
    <row r="205" spans="1:5" x14ac:dyDescent="0.4">
      <c r="A205">
        <v>1.75</v>
      </c>
      <c r="B205">
        <v>0</v>
      </c>
      <c r="C205">
        <v>4</v>
      </c>
      <c r="D205">
        <v>1</v>
      </c>
      <c r="E205">
        <v>14</v>
      </c>
    </row>
    <row r="206" spans="1:5" x14ac:dyDescent="0.4">
      <c r="A206">
        <v>4.5</v>
      </c>
      <c r="B206">
        <v>1</v>
      </c>
      <c r="C206">
        <v>8</v>
      </c>
      <c r="D206">
        <v>2</v>
      </c>
      <c r="E206">
        <v>8</v>
      </c>
    </row>
    <row r="207" spans="1:5" x14ac:dyDescent="0.4">
      <c r="A207">
        <v>9.5</v>
      </c>
      <c r="B207">
        <v>0</v>
      </c>
      <c r="C207">
        <v>0</v>
      </c>
      <c r="D207">
        <v>1</v>
      </c>
      <c r="E207">
        <v>18</v>
      </c>
    </row>
    <row r="208" spans="1:5" x14ac:dyDescent="0.4">
      <c r="A208">
        <v>3.25</v>
      </c>
      <c r="B208">
        <v>0</v>
      </c>
      <c r="C208">
        <v>4</v>
      </c>
      <c r="D208">
        <v>1</v>
      </c>
      <c r="E208">
        <v>15</v>
      </c>
    </row>
    <row r="209" spans="1:5" x14ac:dyDescent="0.4">
      <c r="A209">
        <v>1.5</v>
      </c>
      <c r="B209">
        <v>1</v>
      </c>
      <c r="C209">
        <v>8</v>
      </c>
      <c r="D209">
        <v>2</v>
      </c>
      <c r="E209">
        <v>9</v>
      </c>
    </row>
    <row r="210" spans="1:5" x14ac:dyDescent="0.4">
      <c r="A210">
        <v>12</v>
      </c>
      <c r="B210">
        <v>0</v>
      </c>
      <c r="C210">
        <v>4</v>
      </c>
      <c r="D210">
        <v>1</v>
      </c>
      <c r="E210">
        <v>13</v>
      </c>
    </row>
    <row r="211" spans="1:5" x14ac:dyDescent="0.4">
      <c r="A211">
        <v>1.75</v>
      </c>
      <c r="B211">
        <v>0</v>
      </c>
      <c r="C211">
        <v>0</v>
      </c>
      <c r="D211">
        <v>4</v>
      </c>
      <c r="E211">
        <v>14</v>
      </c>
    </row>
    <row r="212" spans="1:5" x14ac:dyDescent="0.4">
      <c r="A212">
        <v>1.75</v>
      </c>
      <c r="B212">
        <v>0</v>
      </c>
      <c r="C212">
        <v>4</v>
      </c>
      <c r="D212">
        <v>1</v>
      </c>
      <c r="E212">
        <v>12</v>
      </c>
    </row>
    <row r="213" spans="1:5" x14ac:dyDescent="0.4">
      <c r="A213">
        <v>4.75</v>
      </c>
      <c r="B213">
        <v>0</v>
      </c>
      <c r="C213">
        <v>0</v>
      </c>
      <c r="D213">
        <v>1</v>
      </c>
      <c r="E213">
        <v>11</v>
      </c>
    </row>
    <row r="214" spans="1:5" x14ac:dyDescent="0.4">
      <c r="A214">
        <v>1.75</v>
      </c>
      <c r="B214">
        <v>0</v>
      </c>
      <c r="C214">
        <v>4</v>
      </c>
      <c r="D214">
        <v>1</v>
      </c>
      <c r="E214">
        <v>10</v>
      </c>
    </row>
    <row r="215" spans="1:5" x14ac:dyDescent="0.4">
      <c r="A215">
        <v>4</v>
      </c>
      <c r="B215">
        <v>0</v>
      </c>
      <c r="C215">
        <v>0</v>
      </c>
      <c r="D215">
        <v>1</v>
      </c>
      <c r="E215">
        <v>15</v>
      </c>
    </row>
    <row r="216" spans="1:5" x14ac:dyDescent="0.4">
      <c r="A216">
        <v>6.5</v>
      </c>
      <c r="B216">
        <v>0</v>
      </c>
      <c r="C216">
        <v>2</v>
      </c>
      <c r="D216">
        <v>1</v>
      </c>
      <c r="E216">
        <v>13</v>
      </c>
    </row>
    <row r="217" spans="1:5" x14ac:dyDescent="0.4">
      <c r="A217">
        <v>9.5</v>
      </c>
      <c r="B217">
        <v>2</v>
      </c>
      <c r="C217">
        <v>6</v>
      </c>
      <c r="D217">
        <v>1</v>
      </c>
      <c r="E217">
        <v>10</v>
      </c>
    </row>
    <row r="218" spans="1:5" x14ac:dyDescent="0.4">
      <c r="A218">
        <v>4.75</v>
      </c>
      <c r="B218">
        <v>0</v>
      </c>
      <c r="C218">
        <v>6</v>
      </c>
      <c r="D218">
        <v>1</v>
      </c>
      <c r="E218">
        <v>13</v>
      </c>
    </row>
    <row r="219" spans="1:5" x14ac:dyDescent="0.4">
      <c r="A219">
        <v>2.5</v>
      </c>
      <c r="B219">
        <v>0</v>
      </c>
      <c r="C219">
        <v>2</v>
      </c>
      <c r="D219">
        <v>1</v>
      </c>
      <c r="E219">
        <v>16</v>
      </c>
    </row>
    <row r="220" spans="1:5" x14ac:dyDescent="0.4">
      <c r="A220">
        <v>4.75</v>
      </c>
      <c r="B220">
        <v>0</v>
      </c>
      <c r="C220">
        <v>6</v>
      </c>
      <c r="D220">
        <v>3</v>
      </c>
      <c r="E220">
        <v>11</v>
      </c>
    </row>
    <row r="221" spans="1:5" x14ac:dyDescent="0.4">
      <c r="A221">
        <v>0.75</v>
      </c>
      <c r="B221">
        <v>1</v>
      </c>
      <c r="C221">
        <v>0</v>
      </c>
      <c r="D221">
        <v>2</v>
      </c>
      <c r="E221">
        <v>0</v>
      </c>
    </row>
    <row r="222" spans="1:5" x14ac:dyDescent="0.4">
      <c r="A222">
        <v>4.75</v>
      </c>
      <c r="B222">
        <v>0</v>
      </c>
      <c r="C222">
        <v>0</v>
      </c>
      <c r="D222">
        <v>1</v>
      </c>
      <c r="E222">
        <v>10</v>
      </c>
    </row>
    <row r="223" spans="1:5" x14ac:dyDescent="0.4">
      <c r="A223">
        <v>0.5</v>
      </c>
      <c r="B223">
        <v>1</v>
      </c>
      <c r="C223">
        <v>26</v>
      </c>
      <c r="D223">
        <v>2</v>
      </c>
      <c r="E223">
        <v>8</v>
      </c>
    </row>
    <row r="224" spans="1:5" x14ac:dyDescent="0.4">
      <c r="A224">
        <v>2.75</v>
      </c>
      <c r="B224">
        <v>0</v>
      </c>
      <c r="C224">
        <v>0</v>
      </c>
      <c r="D224">
        <v>1</v>
      </c>
      <c r="E224">
        <v>17</v>
      </c>
    </row>
    <row r="225" spans="1:5" x14ac:dyDescent="0.4">
      <c r="A225">
        <v>0.75</v>
      </c>
      <c r="B225">
        <v>0</v>
      </c>
      <c r="C225">
        <v>0</v>
      </c>
      <c r="D225">
        <v>1</v>
      </c>
      <c r="E225">
        <v>16</v>
      </c>
    </row>
    <row r="226" spans="1:5" x14ac:dyDescent="0.4">
      <c r="A226">
        <v>3.5</v>
      </c>
      <c r="B226">
        <v>0</v>
      </c>
      <c r="C226">
        <v>0</v>
      </c>
      <c r="D226">
        <v>1</v>
      </c>
      <c r="E226">
        <v>11</v>
      </c>
    </row>
    <row r="227" spans="1:5" x14ac:dyDescent="0.4">
      <c r="A227">
        <v>2.5</v>
      </c>
      <c r="B227">
        <v>0</v>
      </c>
      <c r="C227">
        <v>8</v>
      </c>
      <c r="D227">
        <v>2</v>
      </c>
      <c r="E227">
        <v>15</v>
      </c>
    </row>
    <row r="228" spans="1:5" x14ac:dyDescent="0.4">
      <c r="A228">
        <v>8.5</v>
      </c>
      <c r="B228">
        <v>0</v>
      </c>
      <c r="C228">
        <v>5</v>
      </c>
      <c r="D228">
        <v>2</v>
      </c>
      <c r="E228">
        <v>8</v>
      </c>
    </row>
    <row r="229" spans="1:5" x14ac:dyDescent="0.4">
      <c r="A229">
        <v>3.25</v>
      </c>
      <c r="B229">
        <v>0</v>
      </c>
      <c r="C229">
        <v>4</v>
      </c>
      <c r="D229">
        <v>3</v>
      </c>
      <c r="E229">
        <v>9</v>
      </c>
    </row>
    <row r="230" spans="1:5" x14ac:dyDescent="0.4">
      <c r="A230">
        <v>2.25</v>
      </c>
      <c r="B230">
        <v>0</v>
      </c>
      <c r="C230">
        <v>0</v>
      </c>
      <c r="D230">
        <v>1</v>
      </c>
      <c r="E230">
        <v>13</v>
      </c>
    </row>
    <row r="231" spans="1:5" x14ac:dyDescent="0.4">
      <c r="A231">
        <v>3.5</v>
      </c>
      <c r="B231">
        <v>0</v>
      </c>
      <c r="C231">
        <v>14</v>
      </c>
      <c r="D231">
        <v>1</v>
      </c>
      <c r="E231">
        <v>17</v>
      </c>
    </row>
    <row r="232" spans="1:5" x14ac:dyDescent="0.4">
      <c r="A232">
        <v>0</v>
      </c>
      <c r="B232">
        <v>0</v>
      </c>
      <c r="C232">
        <v>0</v>
      </c>
      <c r="D232">
        <v>1</v>
      </c>
      <c r="E232">
        <v>13</v>
      </c>
    </row>
    <row r="233" spans="1:5" x14ac:dyDescent="0.4">
      <c r="A233">
        <v>2.5</v>
      </c>
      <c r="B233">
        <v>0</v>
      </c>
      <c r="C233">
        <v>6</v>
      </c>
      <c r="D233">
        <v>1</v>
      </c>
      <c r="E233">
        <v>11</v>
      </c>
    </row>
    <row r="234" spans="1:5" x14ac:dyDescent="0.4">
      <c r="A234">
        <v>3</v>
      </c>
      <c r="B234">
        <v>0</v>
      </c>
      <c r="C234">
        <v>2</v>
      </c>
      <c r="D234">
        <v>2</v>
      </c>
      <c r="E234">
        <v>12</v>
      </c>
    </row>
    <row r="235" spans="1:5" x14ac:dyDescent="0.4">
      <c r="A235">
        <v>1.5</v>
      </c>
      <c r="B235">
        <v>0</v>
      </c>
      <c r="C235">
        <v>6</v>
      </c>
      <c r="D235">
        <v>1</v>
      </c>
      <c r="E235">
        <v>17</v>
      </c>
    </row>
    <row r="236" spans="1:5" x14ac:dyDescent="0.4">
      <c r="A236">
        <v>3.5</v>
      </c>
      <c r="B236">
        <v>0</v>
      </c>
      <c r="C236">
        <v>6</v>
      </c>
      <c r="D236">
        <v>1</v>
      </c>
      <c r="E236">
        <v>9</v>
      </c>
    </row>
    <row r="237" spans="1:5" x14ac:dyDescent="0.4">
      <c r="A237">
        <v>1.5</v>
      </c>
      <c r="B237">
        <v>0</v>
      </c>
      <c r="C237">
        <v>0</v>
      </c>
      <c r="D237">
        <v>2</v>
      </c>
      <c r="E237">
        <v>15</v>
      </c>
    </row>
    <row r="238" spans="1:5" x14ac:dyDescent="0.4">
      <c r="A238">
        <v>3.5</v>
      </c>
      <c r="B238">
        <v>3</v>
      </c>
      <c r="C238">
        <v>10</v>
      </c>
      <c r="D238">
        <v>2</v>
      </c>
      <c r="E238">
        <v>8</v>
      </c>
    </row>
    <row r="239" spans="1:5" x14ac:dyDescent="0.4">
      <c r="A239">
        <v>0</v>
      </c>
      <c r="B239">
        <v>1</v>
      </c>
      <c r="C239">
        <v>0</v>
      </c>
      <c r="D239">
        <v>1</v>
      </c>
      <c r="E239">
        <v>10</v>
      </c>
    </row>
    <row r="240" spans="1:5" x14ac:dyDescent="0.4">
      <c r="A240">
        <v>6.75</v>
      </c>
      <c r="B240">
        <v>0</v>
      </c>
      <c r="C240">
        <v>4</v>
      </c>
      <c r="D240">
        <v>2</v>
      </c>
      <c r="E240">
        <v>15</v>
      </c>
    </row>
    <row r="241" spans="1:5" x14ac:dyDescent="0.4">
      <c r="A241">
        <v>0.25</v>
      </c>
      <c r="B241">
        <v>1</v>
      </c>
      <c r="C241">
        <v>5</v>
      </c>
      <c r="D241">
        <v>1</v>
      </c>
      <c r="E241">
        <v>10</v>
      </c>
    </row>
    <row r="242" spans="1:5" x14ac:dyDescent="0.4">
      <c r="A242">
        <v>4.75</v>
      </c>
      <c r="B242">
        <v>0</v>
      </c>
      <c r="C242">
        <v>1</v>
      </c>
      <c r="D242">
        <v>1</v>
      </c>
      <c r="E242">
        <v>11</v>
      </c>
    </row>
    <row r="243" spans="1:5" x14ac:dyDescent="0.4">
      <c r="A243">
        <v>13.25</v>
      </c>
      <c r="B243">
        <v>0</v>
      </c>
      <c r="C243">
        <v>2</v>
      </c>
      <c r="D243">
        <v>1</v>
      </c>
      <c r="E243">
        <v>17</v>
      </c>
    </row>
    <row r="244" spans="1:5" x14ac:dyDescent="0.4">
      <c r="A244">
        <v>3.25</v>
      </c>
      <c r="B244">
        <v>0</v>
      </c>
      <c r="C244">
        <v>2</v>
      </c>
      <c r="D244">
        <v>1</v>
      </c>
      <c r="E244">
        <v>10</v>
      </c>
    </row>
    <row r="245" spans="1:5" x14ac:dyDescent="0.4">
      <c r="A245">
        <v>13.25</v>
      </c>
      <c r="B245">
        <v>0</v>
      </c>
      <c r="C245">
        <v>0</v>
      </c>
      <c r="D245">
        <v>3</v>
      </c>
      <c r="E245">
        <v>12</v>
      </c>
    </row>
    <row r="246" spans="1:5" x14ac:dyDescent="0.4">
      <c r="A246">
        <v>0.5</v>
      </c>
      <c r="B246">
        <v>0</v>
      </c>
      <c r="C246">
        <v>16</v>
      </c>
      <c r="D246">
        <v>4</v>
      </c>
      <c r="E246">
        <v>12</v>
      </c>
    </row>
    <row r="247" spans="1:5" x14ac:dyDescent="0.4">
      <c r="A247">
        <v>4.75</v>
      </c>
      <c r="B247">
        <v>0</v>
      </c>
      <c r="C247">
        <v>1</v>
      </c>
      <c r="D247">
        <v>3</v>
      </c>
      <c r="E247">
        <v>14</v>
      </c>
    </row>
    <row r="248" spans="1:5" x14ac:dyDescent="0.4">
      <c r="A248">
        <v>0.25</v>
      </c>
      <c r="B248">
        <v>0</v>
      </c>
      <c r="C248">
        <v>10</v>
      </c>
      <c r="D248">
        <v>2</v>
      </c>
      <c r="E248">
        <v>11</v>
      </c>
    </row>
    <row r="249" spans="1:5" x14ac:dyDescent="0.4">
      <c r="A249">
        <v>0</v>
      </c>
      <c r="B249">
        <v>0</v>
      </c>
      <c r="C249">
        <v>0</v>
      </c>
      <c r="D249">
        <v>2</v>
      </c>
      <c r="E249">
        <v>15</v>
      </c>
    </row>
    <row r="250" spans="1:5" x14ac:dyDescent="0.4">
      <c r="A250">
        <v>4.5</v>
      </c>
      <c r="B250">
        <v>0</v>
      </c>
      <c r="C250">
        <v>2</v>
      </c>
      <c r="D250">
        <v>2</v>
      </c>
      <c r="E250">
        <v>15</v>
      </c>
    </row>
    <row r="251" spans="1:5" x14ac:dyDescent="0.4">
      <c r="A251">
        <v>3.75</v>
      </c>
      <c r="B251">
        <v>1</v>
      </c>
      <c r="C251">
        <v>9</v>
      </c>
      <c r="D251">
        <v>2</v>
      </c>
      <c r="E251">
        <v>8</v>
      </c>
    </row>
    <row r="252" spans="1:5" x14ac:dyDescent="0.4">
      <c r="A252">
        <v>13.75</v>
      </c>
      <c r="B252">
        <v>0</v>
      </c>
      <c r="C252">
        <v>6</v>
      </c>
      <c r="D252">
        <v>1</v>
      </c>
      <c r="E252">
        <v>11</v>
      </c>
    </row>
    <row r="253" spans="1:5" x14ac:dyDescent="0.4">
      <c r="A253">
        <v>0.25</v>
      </c>
      <c r="B253">
        <v>1</v>
      </c>
      <c r="C253">
        <v>12</v>
      </c>
      <c r="D253">
        <v>5</v>
      </c>
      <c r="E253">
        <v>7</v>
      </c>
    </row>
    <row r="254" spans="1:5" x14ac:dyDescent="0.4">
      <c r="A254">
        <v>13</v>
      </c>
      <c r="B254">
        <v>0</v>
      </c>
      <c r="C254">
        <v>8</v>
      </c>
      <c r="D254">
        <v>2</v>
      </c>
      <c r="E254">
        <v>14</v>
      </c>
    </row>
    <row r="255" spans="1:5" x14ac:dyDescent="0.4">
      <c r="A255">
        <v>3</v>
      </c>
      <c r="B255">
        <v>0</v>
      </c>
      <c r="C255">
        <v>0</v>
      </c>
      <c r="D255">
        <v>1</v>
      </c>
      <c r="E255">
        <v>12</v>
      </c>
    </row>
    <row r="256" spans="1:5" x14ac:dyDescent="0.4">
      <c r="A256">
        <v>0.75</v>
      </c>
      <c r="B256">
        <v>1</v>
      </c>
      <c r="C256">
        <v>14</v>
      </c>
      <c r="D256">
        <v>1</v>
      </c>
      <c r="E256">
        <v>7</v>
      </c>
    </row>
    <row r="257" spans="1:5" x14ac:dyDescent="0.4">
      <c r="A257">
        <v>3</v>
      </c>
      <c r="B257">
        <v>0</v>
      </c>
      <c r="C257">
        <v>0</v>
      </c>
      <c r="D257">
        <v>1</v>
      </c>
      <c r="E257">
        <v>13</v>
      </c>
    </row>
    <row r="258" spans="1:5" x14ac:dyDescent="0.4">
      <c r="A258">
        <v>3.75</v>
      </c>
      <c r="B258">
        <v>0</v>
      </c>
      <c r="C258">
        <v>0</v>
      </c>
      <c r="D258">
        <v>1</v>
      </c>
      <c r="E258">
        <v>16</v>
      </c>
    </row>
    <row r="259" spans="1:5" x14ac:dyDescent="0.4">
      <c r="A259">
        <v>3.75</v>
      </c>
      <c r="B259">
        <v>2</v>
      </c>
      <c r="C259">
        <v>4</v>
      </c>
      <c r="D259">
        <v>2</v>
      </c>
      <c r="E259">
        <v>8</v>
      </c>
    </row>
    <row r="260" spans="1:5" x14ac:dyDescent="0.4">
      <c r="A260">
        <v>8.75</v>
      </c>
      <c r="B260">
        <v>0</v>
      </c>
      <c r="C260">
        <v>0</v>
      </c>
      <c r="D260">
        <v>1</v>
      </c>
      <c r="E260">
        <v>15</v>
      </c>
    </row>
    <row r="261" spans="1:5" x14ac:dyDescent="0.4">
      <c r="A261">
        <v>4</v>
      </c>
      <c r="B261">
        <v>0</v>
      </c>
      <c r="C261">
        <v>2</v>
      </c>
      <c r="D261">
        <v>2</v>
      </c>
      <c r="E261">
        <v>13</v>
      </c>
    </row>
    <row r="262" spans="1:5" x14ac:dyDescent="0.4">
      <c r="A262">
        <v>1.25</v>
      </c>
      <c r="B262">
        <v>0</v>
      </c>
      <c r="C262">
        <v>4</v>
      </c>
      <c r="D262">
        <v>1</v>
      </c>
      <c r="E262">
        <v>14</v>
      </c>
    </row>
    <row r="263" spans="1:5" x14ac:dyDescent="0.4">
      <c r="A263">
        <v>4.5</v>
      </c>
      <c r="B263">
        <v>0</v>
      </c>
      <c r="C263">
        <v>2</v>
      </c>
      <c r="D263">
        <v>2</v>
      </c>
      <c r="E263">
        <v>15</v>
      </c>
    </row>
    <row r="264" spans="1:5" x14ac:dyDescent="0.4">
      <c r="A264">
        <v>3.5</v>
      </c>
      <c r="B264">
        <v>0</v>
      </c>
      <c r="C264">
        <v>0</v>
      </c>
      <c r="D264">
        <v>3</v>
      </c>
      <c r="E264">
        <v>11</v>
      </c>
    </row>
    <row r="265" spans="1:5" x14ac:dyDescent="0.4">
      <c r="A265">
        <v>2</v>
      </c>
      <c r="B265">
        <v>0</v>
      </c>
      <c r="C265">
        <v>4</v>
      </c>
      <c r="D265">
        <v>1</v>
      </c>
      <c r="E265">
        <v>13</v>
      </c>
    </row>
    <row r="266" spans="1:5" x14ac:dyDescent="0.4">
      <c r="A266">
        <v>4.75</v>
      </c>
      <c r="B266">
        <v>0</v>
      </c>
      <c r="C266">
        <v>4</v>
      </c>
      <c r="D266">
        <v>1</v>
      </c>
      <c r="E266">
        <v>11</v>
      </c>
    </row>
    <row r="267" spans="1:5" x14ac:dyDescent="0.4">
      <c r="A267">
        <v>4</v>
      </c>
      <c r="B267">
        <v>0</v>
      </c>
      <c r="C267">
        <v>16</v>
      </c>
      <c r="D267">
        <v>4</v>
      </c>
      <c r="E267">
        <v>12</v>
      </c>
    </row>
    <row r="268" spans="1:5" x14ac:dyDescent="0.4">
      <c r="A268">
        <v>3</v>
      </c>
      <c r="B268">
        <v>0</v>
      </c>
      <c r="C268">
        <v>0</v>
      </c>
      <c r="D268">
        <v>1</v>
      </c>
      <c r="E268">
        <v>16</v>
      </c>
    </row>
    <row r="269" spans="1:5" x14ac:dyDescent="0.4">
      <c r="A269">
        <v>0.75</v>
      </c>
      <c r="B269">
        <v>0</v>
      </c>
      <c r="C269">
        <v>1</v>
      </c>
      <c r="D269">
        <v>1</v>
      </c>
      <c r="E269">
        <v>13</v>
      </c>
    </row>
    <row r="270" spans="1:5" x14ac:dyDescent="0.4">
      <c r="A270">
        <v>0.25</v>
      </c>
      <c r="B270">
        <v>1</v>
      </c>
      <c r="C270">
        <v>0</v>
      </c>
      <c r="D270">
        <v>1</v>
      </c>
      <c r="E270">
        <v>9</v>
      </c>
    </row>
    <row r="271" spans="1:5" x14ac:dyDescent="0.4">
      <c r="A271">
        <v>1.75</v>
      </c>
      <c r="B271">
        <v>3</v>
      </c>
      <c r="C271">
        <v>10</v>
      </c>
      <c r="D271">
        <v>1</v>
      </c>
      <c r="E271">
        <v>8</v>
      </c>
    </row>
    <row r="272" spans="1:5" x14ac:dyDescent="0.4">
      <c r="A272">
        <v>0</v>
      </c>
      <c r="B272">
        <v>0</v>
      </c>
      <c r="C272">
        <v>0</v>
      </c>
      <c r="D272">
        <v>1</v>
      </c>
      <c r="E272">
        <v>13</v>
      </c>
    </row>
    <row r="273" spans="1:5" x14ac:dyDescent="0.4">
      <c r="A273">
        <v>0.5</v>
      </c>
      <c r="B273">
        <v>0</v>
      </c>
      <c r="C273">
        <v>2</v>
      </c>
      <c r="D273">
        <v>4</v>
      </c>
      <c r="E273">
        <v>11</v>
      </c>
    </row>
    <row r="274" spans="1:5" x14ac:dyDescent="0.4">
      <c r="A274">
        <v>1.25</v>
      </c>
      <c r="B274">
        <v>1</v>
      </c>
      <c r="C274">
        <v>4</v>
      </c>
      <c r="D274">
        <v>1</v>
      </c>
      <c r="E274">
        <v>8</v>
      </c>
    </row>
    <row r="275" spans="1:5" x14ac:dyDescent="0.4">
      <c r="A275">
        <v>5</v>
      </c>
      <c r="B275">
        <v>1</v>
      </c>
      <c r="C275">
        <v>0</v>
      </c>
      <c r="D275">
        <v>1</v>
      </c>
      <c r="E275">
        <v>11</v>
      </c>
    </row>
    <row r="276" spans="1:5" x14ac:dyDescent="0.4">
      <c r="A276">
        <v>1</v>
      </c>
      <c r="B276">
        <v>0</v>
      </c>
      <c r="C276">
        <v>0</v>
      </c>
      <c r="D276">
        <v>1</v>
      </c>
      <c r="E276">
        <v>10</v>
      </c>
    </row>
    <row r="277" spans="1:5" x14ac:dyDescent="0.4">
      <c r="A277">
        <v>9.25</v>
      </c>
      <c r="B277">
        <v>0</v>
      </c>
      <c r="C277">
        <v>4</v>
      </c>
      <c r="D277">
        <v>1</v>
      </c>
      <c r="E277">
        <v>14</v>
      </c>
    </row>
    <row r="278" spans="1:5" x14ac:dyDescent="0.4">
      <c r="A278">
        <v>3.25</v>
      </c>
      <c r="B278">
        <v>0</v>
      </c>
      <c r="C278">
        <v>2</v>
      </c>
      <c r="D278">
        <v>1</v>
      </c>
      <c r="E278">
        <v>16</v>
      </c>
    </row>
    <row r="279" spans="1:5" x14ac:dyDescent="0.4">
      <c r="A279">
        <v>1.5</v>
      </c>
      <c r="B279">
        <v>0</v>
      </c>
      <c r="C279">
        <v>0</v>
      </c>
      <c r="D279">
        <v>1</v>
      </c>
      <c r="E279">
        <v>9</v>
      </c>
    </row>
    <row r="280" spans="1:5" x14ac:dyDescent="0.4">
      <c r="A280">
        <v>1</v>
      </c>
      <c r="B280">
        <v>1</v>
      </c>
      <c r="C280">
        <v>4</v>
      </c>
      <c r="D280">
        <v>1</v>
      </c>
      <c r="E280">
        <v>10</v>
      </c>
    </row>
    <row r="281" spans="1:5" x14ac:dyDescent="0.4">
      <c r="A281">
        <v>8.25</v>
      </c>
      <c r="B281">
        <v>0</v>
      </c>
      <c r="C281">
        <v>10</v>
      </c>
      <c r="D281">
        <v>1</v>
      </c>
      <c r="E281">
        <v>14</v>
      </c>
    </row>
    <row r="282" spans="1:5" x14ac:dyDescent="0.4">
      <c r="A282">
        <v>4.25</v>
      </c>
      <c r="B282">
        <v>0</v>
      </c>
      <c r="C282">
        <v>2</v>
      </c>
      <c r="D282">
        <v>1</v>
      </c>
      <c r="E282">
        <v>16</v>
      </c>
    </row>
    <row r="283" spans="1:5" x14ac:dyDescent="0.4">
      <c r="A283">
        <v>0.75</v>
      </c>
      <c r="B283">
        <v>0</v>
      </c>
      <c r="C283">
        <v>7</v>
      </c>
      <c r="D283">
        <v>1</v>
      </c>
      <c r="E283">
        <v>16</v>
      </c>
    </row>
    <row r="284" spans="1:5" x14ac:dyDescent="0.4">
      <c r="A284">
        <v>7</v>
      </c>
      <c r="B284">
        <v>1</v>
      </c>
      <c r="C284">
        <v>0</v>
      </c>
      <c r="D284">
        <v>1</v>
      </c>
      <c r="E284">
        <v>8</v>
      </c>
    </row>
    <row r="285" spans="1:5" x14ac:dyDescent="0.4">
      <c r="A285">
        <v>6.75</v>
      </c>
      <c r="B285">
        <v>0</v>
      </c>
      <c r="C285">
        <v>10</v>
      </c>
      <c r="D285">
        <v>1</v>
      </c>
      <c r="E285">
        <v>11</v>
      </c>
    </row>
    <row r="286" spans="1:5" x14ac:dyDescent="0.4">
      <c r="A286">
        <v>7.25</v>
      </c>
      <c r="B286">
        <v>0</v>
      </c>
      <c r="C286">
        <v>0</v>
      </c>
      <c r="D286">
        <v>1</v>
      </c>
      <c r="E286">
        <v>14</v>
      </c>
    </row>
    <row r="287" spans="1:5" x14ac:dyDescent="0.4">
      <c r="A287">
        <v>2.5</v>
      </c>
      <c r="B287">
        <v>2</v>
      </c>
      <c r="C287">
        <v>0</v>
      </c>
      <c r="D287">
        <v>2</v>
      </c>
      <c r="E287">
        <v>10</v>
      </c>
    </row>
    <row r="288" spans="1:5" x14ac:dyDescent="0.4">
      <c r="A288">
        <v>1</v>
      </c>
      <c r="B288">
        <v>0</v>
      </c>
      <c r="C288">
        <v>2</v>
      </c>
      <c r="D288">
        <v>1</v>
      </c>
      <c r="E288">
        <v>11</v>
      </c>
    </row>
    <row r="289" spans="1:5" x14ac:dyDescent="0.4">
      <c r="A289">
        <v>0.5</v>
      </c>
      <c r="B289">
        <v>0</v>
      </c>
      <c r="C289">
        <v>4</v>
      </c>
      <c r="D289">
        <v>3</v>
      </c>
      <c r="E289">
        <v>11</v>
      </c>
    </row>
    <row r="290" spans="1:5" x14ac:dyDescent="0.4">
      <c r="A290">
        <v>2.5</v>
      </c>
      <c r="B290">
        <v>0</v>
      </c>
      <c r="C290">
        <v>0</v>
      </c>
      <c r="D290">
        <v>1</v>
      </c>
      <c r="E290">
        <v>14</v>
      </c>
    </row>
    <row r="291" spans="1:5" x14ac:dyDescent="0.4">
      <c r="A291">
        <v>0</v>
      </c>
      <c r="B291">
        <v>0</v>
      </c>
      <c r="C291">
        <v>5</v>
      </c>
      <c r="D291">
        <v>1</v>
      </c>
      <c r="E291">
        <v>14</v>
      </c>
    </row>
    <row r="292" spans="1:5" x14ac:dyDescent="0.4">
      <c r="A292">
        <v>4.25</v>
      </c>
      <c r="B292">
        <v>0</v>
      </c>
      <c r="C292">
        <v>2</v>
      </c>
      <c r="D292">
        <v>1</v>
      </c>
      <c r="E292">
        <v>13</v>
      </c>
    </row>
    <row r="293" spans="1:5" x14ac:dyDescent="0.4">
      <c r="A293">
        <v>3.75</v>
      </c>
      <c r="B293">
        <v>0</v>
      </c>
      <c r="C293">
        <v>8</v>
      </c>
      <c r="D293">
        <v>2</v>
      </c>
      <c r="E293">
        <v>12</v>
      </c>
    </row>
    <row r="294" spans="1:5" x14ac:dyDescent="0.4">
      <c r="A294">
        <v>4</v>
      </c>
      <c r="B294">
        <v>0</v>
      </c>
      <c r="C294">
        <v>16</v>
      </c>
      <c r="D294">
        <v>1</v>
      </c>
      <c r="E294">
        <v>10</v>
      </c>
    </row>
    <row r="295" spans="1:5" x14ac:dyDescent="0.4">
      <c r="A295">
        <v>4.25</v>
      </c>
      <c r="B295">
        <v>0</v>
      </c>
      <c r="C295">
        <v>0</v>
      </c>
      <c r="D295">
        <v>1</v>
      </c>
      <c r="E295">
        <v>14</v>
      </c>
    </row>
    <row r="296" spans="1:5" x14ac:dyDescent="0.4">
      <c r="A296">
        <v>1.5</v>
      </c>
      <c r="B296">
        <v>0</v>
      </c>
      <c r="C296">
        <v>0</v>
      </c>
      <c r="D296">
        <v>1</v>
      </c>
      <c r="E296">
        <v>12</v>
      </c>
    </row>
    <row r="297" spans="1:5" x14ac:dyDescent="0.4">
      <c r="A297">
        <v>1.75</v>
      </c>
      <c r="B297">
        <v>0</v>
      </c>
      <c r="C297">
        <v>11</v>
      </c>
      <c r="D297">
        <v>3</v>
      </c>
      <c r="E297">
        <v>11</v>
      </c>
    </row>
    <row r="298" spans="1:5" x14ac:dyDescent="0.4">
      <c r="A298">
        <v>6</v>
      </c>
      <c r="B298">
        <v>0</v>
      </c>
      <c r="C298">
        <v>1</v>
      </c>
      <c r="D298">
        <v>2</v>
      </c>
      <c r="E298">
        <v>12</v>
      </c>
    </row>
    <row r="299" spans="1:5" x14ac:dyDescent="0.4">
      <c r="A299">
        <v>9.25</v>
      </c>
      <c r="B299">
        <v>0</v>
      </c>
      <c r="C299">
        <v>2</v>
      </c>
      <c r="D299">
        <v>2</v>
      </c>
      <c r="E299">
        <v>11</v>
      </c>
    </row>
    <row r="300" spans="1:5" x14ac:dyDescent="0.4">
      <c r="A300">
        <v>4.25</v>
      </c>
      <c r="B300">
        <v>0</v>
      </c>
      <c r="C300">
        <v>0</v>
      </c>
      <c r="D300">
        <v>3</v>
      </c>
      <c r="E300">
        <v>0</v>
      </c>
    </row>
  </sheetData>
  <conditionalFormatting sqref="G2:L7">
    <cfRule type="colorScale" priority="1">
      <colorScale>
        <cfvo type="min"/>
        <cfvo type="max"/>
        <color rgb="FFFCFCFF"/>
        <color rgb="FFF8696B"/>
      </colorScale>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FD04F-127B-4C75-93A7-1B2932D9419C}">
  <dimension ref="A1:H300"/>
  <sheetViews>
    <sheetView topLeftCell="A270" zoomScale="96" workbookViewId="0">
      <selection activeCell="F2" sqref="F2:F300"/>
    </sheetView>
  </sheetViews>
  <sheetFormatPr defaultColWidth="8.83203125" defaultRowHeight="16" x14ac:dyDescent="0.4"/>
  <cols>
    <col min="1" max="1" width="14.1640625" bestFit="1" customWidth="1"/>
    <col min="3" max="3" width="9.83203125" bestFit="1" customWidth="1"/>
    <col min="6" max="6" width="13.6640625" bestFit="1" customWidth="1"/>
  </cols>
  <sheetData>
    <row r="1" spans="1:8" x14ac:dyDescent="0.4">
      <c r="A1" s="9" t="s">
        <v>24</v>
      </c>
      <c r="B1" s="9" t="s">
        <v>30</v>
      </c>
      <c r="C1" s="9" t="s">
        <v>28</v>
      </c>
      <c r="D1" s="9" t="s">
        <v>38</v>
      </c>
      <c r="E1" s="9" t="s">
        <v>32</v>
      </c>
      <c r="F1" s="9" t="s">
        <v>26</v>
      </c>
      <c r="G1" s="9" t="s">
        <v>34</v>
      </c>
      <c r="H1" s="14" t="s">
        <v>40</v>
      </c>
    </row>
    <row r="2" spans="1:8" x14ac:dyDescent="0.4">
      <c r="A2">
        <v>0</v>
      </c>
      <c r="B2">
        <v>1</v>
      </c>
      <c r="C2">
        <v>2.75</v>
      </c>
      <c r="D2">
        <v>2</v>
      </c>
      <c r="E2">
        <v>4</v>
      </c>
      <c r="F2">
        <v>1</v>
      </c>
      <c r="G2">
        <v>1</v>
      </c>
      <c r="H2">
        <v>10</v>
      </c>
    </row>
    <row r="3" spans="1:8" x14ac:dyDescent="0.4">
      <c r="A3">
        <v>1</v>
      </c>
      <c r="B3">
        <v>0</v>
      </c>
      <c r="C3">
        <v>0.25</v>
      </c>
      <c r="D3">
        <v>3</v>
      </c>
      <c r="E3">
        <v>0</v>
      </c>
      <c r="F3">
        <v>0</v>
      </c>
      <c r="G3">
        <v>1</v>
      </c>
      <c r="H3">
        <v>0</v>
      </c>
    </row>
    <row r="4" spans="1:8" x14ac:dyDescent="0.4">
      <c r="A4">
        <v>0</v>
      </c>
      <c r="B4">
        <v>0</v>
      </c>
      <c r="C4">
        <v>3.75</v>
      </c>
      <c r="D4">
        <v>2</v>
      </c>
      <c r="E4">
        <v>0</v>
      </c>
      <c r="F4">
        <v>0</v>
      </c>
      <c r="G4">
        <v>1</v>
      </c>
      <c r="H4">
        <v>13</v>
      </c>
    </row>
    <row r="5" spans="1:8" x14ac:dyDescent="0.4">
      <c r="A5">
        <v>1</v>
      </c>
      <c r="B5">
        <v>0</v>
      </c>
      <c r="C5">
        <v>4.75</v>
      </c>
      <c r="D5">
        <v>1</v>
      </c>
      <c r="E5">
        <v>8</v>
      </c>
      <c r="F5">
        <v>0</v>
      </c>
      <c r="G5">
        <v>1</v>
      </c>
      <c r="H5">
        <v>11</v>
      </c>
    </row>
    <row r="6" spans="1:8" x14ac:dyDescent="0.4">
      <c r="A6">
        <v>1</v>
      </c>
      <c r="B6">
        <v>0</v>
      </c>
      <c r="C6">
        <v>14.25</v>
      </c>
      <c r="D6">
        <v>2</v>
      </c>
      <c r="E6">
        <v>6</v>
      </c>
      <c r="F6">
        <v>0</v>
      </c>
      <c r="G6">
        <v>1</v>
      </c>
      <c r="H6">
        <v>10</v>
      </c>
    </row>
    <row r="7" spans="1:8" x14ac:dyDescent="0.4">
      <c r="A7">
        <v>0</v>
      </c>
      <c r="B7">
        <v>0</v>
      </c>
      <c r="C7">
        <v>3.5</v>
      </c>
      <c r="D7">
        <v>1</v>
      </c>
      <c r="E7">
        <v>0</v>
      </c>
      <c r="F7">
        <v>0</v>
      </c>
      <c r="G7">
        <v>1</v>
      </c>
      <c r="H7">
        <v>15</v>
      </c>
    </row>
    <row r="8" spans="1:8" x14ac:dyDescent="0.4">
      <c r="A8">
        <v>1</v>
      </c>
      <c r="B8">
        <v>0</v>
      </c>
      <c r="C8">
        <v>2.5</v>
      </c>
      <c r="D8">
        <v>1</v>
      </c>
      <c r="E8">
        <v>0</v>
      </c>
      <c r="F8">
        <v>0</v>
      </c>
      <c r="G8">
        <v>1</v>
      </c>
      <c r="H8">
        <v>15</v>
      </c>
    </row>
    <row r="9" spans="1:8" x14ac:dyDescent="0.4">
      <c r="A9">
        <v>1</v>
      </c>
      <c r="B9">
        <v>0</v>
      </c>
      <c r="C9">
        <v>1.25</v>
      </c>
      <c r="D9">
        <v>1</v>
      </c>
      <c r="E9">
        <v>4</v>
      </c>
      <c r="F9">
        <v>0</v>
      </c>
      <c r="G9">
        <v>1</v>
      </c>
      <c r="H9">
        <v>12</v>
      </c>
    </row>
    <row r="10" spans="1:8" x14ac:dyDescent="0.4">
      <c r="A10">
        <v>1</v>
      </c>
      <c r="B10">
        <v>0</v>
      </c>
      <c r="C10">
        <v>1.25</v>
      </c>
      <c r="D10">
        <v>2</v>
      </c>
      <c r="E10">
        <v>0</v>
      </c>
      <c r="F10">
        <v>0</v>
      </c>
      <c r="G10">
        <v>1</v>
      </c>
      <c r="H10">
        <v>14</v>
      </c>
    </row>
    <row r="11" spans="1:8" x14ac:dyDescent="0.4">
      <c r="A11">
        <v>1</v>
      </c>
      <c r="B11">
        <v>0</v>
      </c>
      <c r="C11">
        <v>2.25</v>
      </c>
      <c r="D11">
        <v>1</v>
      </c>
      <c r="E11">
        <v>0</v>
      </c>
      <c r="F11">
        <v>0</v>
      </c>
      <c r="G11">
        <v>1</v>
      </c>
      <c r="H11">
        <v>12</v>
      </c>
    </row>
    <row r="12" spans="1:8" x14ac:dyDescent="0.4">
      <c r="A12">
        <v>1</v>
      </c>
      <c r="B12">
        <v>0</v>
      </c>
      <c r="C12">
        <v>4.25</v>
      </c>
      <c r="D12">
        <v>1</v>
      </c>
      <c r="E12">
        <v>4</v>
      </c>
      <c r="F12">
        <v>0</v>
      </c>
      <c r="G12">
        <v>1</v>
      </c>
      <c r="H12">
        <v>17</v>
      </c>
    </row>
    <row r="13" spans="1:8" x14ac:dyDescent="0.4">
      <c r="A13">
        <v>1</v>
      </c>
      <c r="B13">
        <v>1</v>
      </c>
      <c r="C13">
        <v>1.5</v>
      </c>
      <c r="D13">
        <v>1</v>
      </c>
      <c r="E13">
        <v>12</v>
      </c>
      <c r="F13">
        <v>0</v>
      </c>
      <c r="G13">
        <v>1</v>
      </c>
      <c r="H13">
        <v>0</v>
      </c>
    </row>
    <row r="14" spans="1:8" x14ac:dyDescent="0.4">
      <c r="A14">
        <v>1</v>
      </c>
      <c r="B14">
        <v>0</v>
      </c>
      <c r="C14">
        <v>4</v>
      </c>
      <c r="D14">
        <v>1</v>
      </c>
      <c r="E14">
        <v>8</v>
      </c>
      <c r="F14">
        <v>0</v>
      </c>
      <c r="G14">
        <v>0</v>
      </c>
      <c r="H14">
        <v>10</v>
      </c>
    </row>
    <row r="15" spans="1:8" x14ac:dyDescent="0.4">
      <c r="A15">
        <v>0</v>
      </c>
      <c r="B15">
        <v>0</v>
      </c>
      <c r="C15">
        <v>11.75</v>
      </c>
      <c r="D15">
        <v>1</v>
      </c>
      <c r="E15">
        <v>10</v>
      </c>
      <c r="F15">
        <v>0</v>
      </c>
      <c r="G15">
        <v>1</v>
      </c>
      <c r="H15">
        <v>14</v>
      </c>
    </row>
    <row r="16" spans="1:8" x14ac:dyDescent="0.4">
      <c r="A16">
        <v>1</v>
      </c>
      <c r="B16">
        <v>0</v>
      </c>
      <c r="C16">
        <v>6</v>
      </c>
      <c r="D16">
        <v>1</v>
      </c>
      <c r="E16">
        <v>2</v>
      </c>
      <c r="F16">
        <v>0</v>
      </c>
      <c r="G16">
        <v>1</v>
      </c>
      <c r="H16">
        <v>7</v>
      </c>
    </row>
    <row r="17" spans="1:8" x14ac:dyDescent="0.4">
      <c r="A17">
        <v>0</v>
      </c>
      <c r="B17">
        <v>0</v>
      </c>
      <c r="C17">
        <v>2</v>
      </c>
      <c r="D17">
        <v>2</v>
      </c>
      <c r="E17">
        <v>4</v>
      </c>
      <c r="F17">
        <v>0</v>
      </c>
      <c r="G17">
        <v>1</v>
      </c>
      <c r="H17">
        <v>15</v>
      </c>
    </row>
    <row r="18" spans="1:8" x14ac:dyDescent="0.4">
      <c r="A18">
        <v>0</v>
      </c>
      <c r="B18">
        <v>0</v>
      </c>
      <c r="C18">
        <v>3.5</v>
      </c>
      <c r="D18">
        <v>3</v>
      </c>
      <c r="E18">
        <v>2</v>
      </c>
      <c r="F18">
        <v>0</v>
      </c>
      <c r="G18">
        <v>1</v>
      </c>
      <c r="H18">
        <v>11</v>
      </c>
    </row>
    <row r="19" spans="1:8" x14ac:dyDescent="0.4">
      <c r="A19">
        <v>0</v>
      </c>
      <c r="B19">
        <v>0</v>
      </c>
      <c r="C19">
        <v>1.25</v>
      </c>
      <c r="D19">
        <v>2</v>
      </c>
      <c r="E19">
        <v>0</v>
      </c>
      <c r="F19">
        <v>0</v>
      </c>
      <c r="G19">
        <v>1</v>
      </c>
      <c r="H19">
        <v>13</v>
      </c>
    </row>
    <row r="20" spans="1:8" x14ac:dyDescent="0.4">
      <c r="A20">
        <v>0</v>
      </c>
      <c r="B20">
        <v>0</v>
      </c>
      <c r="C20">
        <v>2.5</v>
      </c>
      <c r="D20">
        <v>2</v>
      </c>
      <c r="E20">
        <v>0</v>
      </c>
      <c r="F20">
        <v>0</v>
      </c>
      <c r="G20">
        <v>1</v>
      </c>
      <c r="H20">
        <v>12</v>
      </c>
    </row>
    <row r="21" spans="1:8" x14ac:dyDescent="0.4">
      <c r="A21">
        <v>0</v>
      </c>
      <c r="B21">
        <v>0</v>
      </c>
      <c r="C21">
        <v>4.25</v>
      </c>
      <c r="D21">
        <v>2</v>
      </c>
      <c r="E21">
        <v>0</v>
      </c>
      <c r="F21">
        <v>0</v>
      </c>
      <c r="G21">
        <v>1</v>
      </c>
      <c r="H21">
        <v>11</v>
      </c>
    </row>
    <row r="22" spans="1:8" x14ac:dyDescent="0.4">
      <c r="A22">
        <v>0</v>
      </c>
      <c r="B22">
        <v>0</v>
      </c>
      <c r="C22">
        <v>3.5</v>
      </c>
      <c r="D22">
        <v>1</v>
      </c>
      <c r="E22">
        <v>0</v>
      </c>
      <c r="F22">
        <v>0</v>
      </c>
      <c r="G22">
        <v>1</v>
      </c>
      <c r="H22">
        <v>16</v>
      </c>
    </row>
    <row r="23" spans="1:8" x14ac:dyDescent="0.4">
      <c r="A23">
        <v>0</v>
      </c>
      <c r="B23">
        <v>0</v>
      </c>
      <c r="C23">
        <v>0</v>
      </c>
      <c r="D23">
        <v>3</v>
      </c>
      <c r="E23">
        <v>2</v>
      </c>
      <c r="F23">
        <v>0</v>
      </c>
      <c r="G23">
        <v>1</v>
      </c>
      <c r="H23">
        <v>12</v>
      </c>
    </row>
    <row r="24" spans="1:8" x14ac:dyDescent="0.4">
      <c r="A24">
        <v>1</v>
      </c>
      <c r="B24">
        <v>0</v>
      </c>
      <c r="C24">
        <v>0</v>
      </c>
      <c r="D24">
        <v>3</v>
      </c>
      <c r="E24">
        <v>4</v>
      </c>
      <c r="F24">
        <v>0</v>
      </c>
      <c r="G24">
        <v>1</v>
      </c>
      <c r="H24">
        <v>13</v>
      </c>
    </row>
    <row r="25" spans="1:8" x14ac:dyDescent="0.4">
      <c r="A25">
        <v>0</v>
      </c>
      <c r="B25">
        <v>0</v>
      </c>
      <c r="C25">
        <v>2.25</v>
      </c>
      <c r="D25">
        <v>2</v>
      </c>
      <c r="E25">
        <v>5</v>
      </c>
      <c r="F25">
        <v>0</v>
      </c>
      <c r="G25">
        <v>1</v>
      </c>
      <c r="H25">
        <v>11</v>
      </c>
    </row>
    <row r="26" spans="1:8" x14ac:dyDescent="0.4">
      <c r="A26">
        <v>0</v>
      </c>
      <c r="B26">
        <v>0</v>
      </c>
      <c r="C26">
        <v>3</v>
      </c>
      <c r="D26">
        <v>1</v>
      </c>
      <c r="E26">
        <v>10</v>
      </c>
      <c r="F26">
        <v>0</v>
      </c>
      <c r="G26">
        <v>1</v>
      </c>
      <c r="H26">
        <v>15</v>
      </c>
    </row>
    <row r="27" spans="1:8" x14ac:dyDescent="0.4">
      <c r="A27">
        <v>1</v>
      </c>
      <c r="B27">
        <v>0</v>
      </c>
      <c r="C27">
        <v>9.75</v>
      </c>
      <c r="D27">
        <v>1</v>
      </c>
      <c r="E27">
        <v>0</v>
      </c>
      <c r="F27">
        <v>0</v>
      </c>
      <c r="G27">
        <v>1</v>
      </c>
      <c r="H27">
        <v>8</v>
      </c>
    </row>
    <row r="28" spans="1:8" x14ac:dyDescent="0.4">
      <c r="A28">
        <v>1</v>
      </c>
      <c r="B28">
        <v>0</v>
      </c>
      <c r="C28">
        <v>2.5</v>
      </c>
      <c r="D28">
        <v>2</v>
      </c>
      <c r="E28">
        <v>2</v>
      </c>
      <c r="F28">
        <v>0</v>
      </c>
      <c r="G28">
        <v>1</v>
      </c>
      <c r="H28">
        <v>9</v>
      </c>
    </row>
    <row r="29" spans="1:8" x14ac:dyDescent="0.4">
      <c r="A29">
        <v>0</v>
      </c>
      <c r="B29">
        <v>0</v>
      </c>
      <c r="C29">
        <v>4</v>
      </c>
      <c r="D29">
        <v>1</v>
      </c>
      <c r="E29">
        <v>0</v>
      </c>
      <c r="F29">
        <v>1</v>
      </c>
      <c r="G29">
        <v>1</v>
      </c>
      <c r="H29">
        <v>10</v>
      </c>
    </row>
    <row r="30" spans="1:8" x14ac:dyDescent="0.4">
      <c r="A30">
        <v>0</v>
      </c>
      <c r="B30">
        <v>0</v>
      </c>
      <c r="C30">
        <v>0.5</v>
      </c>
      <c r="D30">
        <v>2</v>
      </c>
      <c r="E30">
        <v>0</v>
      </c>
      <c r="F30">
        <v>1</v>
      </c>
      <c r="G30">
        <v>1</v>
      </c>
      <c r="H30">
        <v>9</v>
      </c>
    </row>
    <row r="31" spans="1:8" x14ac:dyDescent="0.4">
      <c r="A31">
        <v>0</v>
      </c>
      <c r="B31">
        <v>0</v>
      </c>
      <c r="C31">
        <v>8.25</v>
      </c>
      <c r="D31">
        <v>2</v>
      </c>
      <c r="E31">
        <v>0</v>
      </c>
      <c r="F31">
        <v>0</v>
      </c>
      <c r="G31">
        <v>1</v>
      </c>
      <c r="H31">
        <v>12</v>
      </c>
    </row>
    <row r="32" spans="1:8" x14ac:dyDescent="0.4">
      <c r="A32">
        <v>1</v>
      </c>
      <c r="B32">
        <v>0</v>
      </c>
      <c r="C32">
        <v>8.75</v>
      </c>
      <c r="D32">
        <v>2</v>
      </c>
      <c r="E32">
        <v>8</v>
      </c>
      <c r="F32">
        <v>0</v>
      </c>
      <c r="G32">
        <v>1</v>
      </c>
      <c r="H32">
        <v>14</v>
      </c>
    </row>
    <row r="33" spans="1:8" x14ac:dyDescent="0.4">
      <c r="A33">
        <v>0</v>
      </c>
      <c r="B33">
        <v>0</v>
      </c>
      <c r="C33">
        <v>3</v>
      </c>
      <c r="D33">
        <v>2</v>
      </c>
      <c r="E33">
        <v>8</v>
      </c>
      <c r="F33">
        <v>1</v>
      </c>
      <c r="G33">
        <v>1</v>
      </c>
      <c r="H33">
        <v>11</v>
      </c>
    </row>
    <row r="34" spans="1:8" x14ac:dyDescent="0.4">
      <c r="A34">
        <v>0</v>
      </c>
      <c r="B34">
        <v>0</v>
      </c>
      <c r="C34">
        <v>0</v>
      </c>
      <c r="D34">
        <v>2</v>
      </c>
      <c r="E34">
        <v>2</v>
      </c>
      <c r="F34">
        <v>0</v>
      </c>
      <c r="G34">
        <v>0</v>
      </c>
      <c r="H34">
        <v>9</v>
      </c>
    </row>
    <row r="35" spans="1:8" x14ac:dyDescent="0.4">
      <c r="A35">
        <v>0</v>
      </c>
      <c r="B35">
        <v>0</v>
      </c>
      <c r="C35">
        <v>4.25</v>
      </c>
      <c r="D35">
        <v>1</v>
      </c>
      <c r="E35">
        <v>0</v>
      </c>
      <c r="F35">
        <v>1</v>
      </c>
      <c r="G35">
        <v>1</v>
      </c>
      <c r="H35">
        <v>18</v>
      </c>
    </row>
    <row r="36" spans="1:8" x14ac:dyDescent="0.4">
      <c r="A36">
        <v>0</v>
      </c>
      <c r="B36">
        <v>0</v>
      </c>
      <c r="C36">
        <v>1</v>
      </c>
      <c r="D36">
        <v>1</v>
      </c>
      <c r="E36">
        <v>0</v>
      </c>
      <c r="F36">
        <v>1</v>
      </c>
      <c r="G36">
        <v>1</v>
      </c>
      <c r="H36">
        <v>11</v>
      </c>
    </row>
    <row r="37" spans="1:8" x14ac:dyDescent="0.4">
      <c r="A37">
        <v>1</v>
      </c>
      <c r="B37">
        <v>0</v>
      </c>
      <c r="C37">
        <v>1.25</v>
      </c>
      <c r="D37">
        <v>2</v>
      </c>
      <c r="E37">
        <v>2</v>
      </c>
      <c r="F37">
        <v>0</v>
      </c>
      <c r="G37">
        <v>1</v>
      </c>
      <c r="H37">
        <v>16</v>
      </c>
    </row>
    <row r="38" spans="1:8" x14ac:dyDescent="0.4">
      <c r="A38">
        <v>1</v>
      </c>
      <c r="B38">
        <v>3</v>
      </c>
      <c r="C38">
        <v>3.25</v>
      </c>
      <c r="D38">
        <v>5</v>
      </c>
      <c r="E38">
        <v>9</v>
      </c>
      <c r="F38">
        <v>0</v>
      </c>
      <c r="G38">
        <v>1</v>
      </c>
      <c r="H38">
        <v>12</v>
      </c>
    </row>
    <row r="39" spans="1:8" x14ac:dyDescent="0.4">
      <c r="A39">
        <v>0</v>
      </c>
      <c r="B39">
        <v>0</v>
      </c>
      <c r="C39">
        <v>2.25</v>
      </c>
      <c r="D39">
        <v>1</v>
      </c>
      <c r="E39">
        <v>0</v>
      </c>
      <c r="F39">
        <v>0</v>
      </c>
      <c r="G39">
        <v>1</v>
      </c>
      <c r="H39">
        <v>13</v>
      </c>
    </row>
    <row r="40" spans="1:8" x14ac:dyDescent="0.4">
      <c r="A40">
        <v>1</v>
      </c>
      <c r="B40">
        <v>0</v>
      </c>
      <c r="C40">
        <v>3.25</v>
      </c>
      <c r="D40">
        <v>4</v>
      </c>
      <c r="E40">
        <v>15</v>
      </c>
      <c r="F40">
        <v>0</v>
      </c>
      <c r="G40">
        <v>1</v>
      </c>
      <c r="H40">
        <v>10</v>
      </c>
    </row>
    <row r="41" spans="1:8" x14ac:dyDescent="0.4">
      <c r="A41">
        <v>0</v>
      </c>
      <c r="B41">
        <v>3</v>
      </c>
      <c r="C41">
        <v>2.75</v>
      </c>
      <c r="D41">
        <v>1</v>
      </c>
      <c r="E41">
        <v>0</v>
      </c>
      <c r="F41">
        <v>1</v>
      </c>
      <c r="G41">
        <v>1</v>
      </c>
      <c r="H41">
        <v>9</v>
      </c>
    </row>
    <row r="42" spans="1:8" x14ac:dyDescent="0.4">
      <c r="A42">
        <v>0</v>
      </c>
      <c r="B42">
        <v>0</v>
      </c>
      <c r="C42">
        <v>1.25</v>
      </c>
      <c r="D42">
        <v>1</v>
      </c>
      <c r="E42">
        <v>4</v>
      </c>
      <c r="F42">
        <v>0</v>
      </c>
      <c r="G42">
        <v>0</v>
      </c>
      <c r="H42">
        <v>14</v>
      </c>
    </row>
    <row r="43" spans="1:8" x14ac:dyDescent="0.4">
      <c r="A43">
        <v>1</v>
      </c>
      <c r="B43">
        <v>0</v>
      </c>
      <c r="C43">
        <v>2.5</v>
      </c>
      <c r="D43">
        <v>1</v>
      </c>
      <c r="E43">
        <v>0</v>
      </c>
      <c r="F43">
        <v>0</v>
      </c>
      <c r="G43">
        <v>0</v>
      </c>
      <c r="H43">
        <v>9</v>
      </c>
    </row>
    <row r="44" spans="1:8" x14ac:dyDescent="0.4">
      <c r="A44">
        <v>1</v>
      </c>
      <c r="B44">
        <v>2</v>
      </c>
      <c r="C44">
        <v>3.75</v>
      </c>
      <c r="D44">
        <v>1</v>
      </c>
      <c r="E44">
        <v>2</v>
      </c>
      <c r="F44">
        <v>0</v>
      </c>
      <c r="G44">
        <v>1</v>
      </c>
      <c r="H44">
        <v>15</v>
      </c>
    </row>
    <row r="45" spans="1:8" x14ac:dyDescent="0.4">
      <c r="A45">
        <v>1</v>
      </c>
      <c r="B45">
        <v>0</v>
      </c>
      <c r="C45">
        <v>2.25</v>
      </c>
      <c r="D45">
        <v>3</v>
      </c>
      <c r="E45">
        <v>10</v>
      </c>
      <c r="F45">
        <v>0</v>
      </c>
      <c r="G45">
        <v>1</v>
      </c>
      <c r="H45">
        <v>16</v>
      </c>
    </row>
    <row r="46" spans="1:8" x14ac:dyDescent="0.4">
      <c r="A46">
        <v>1</v>
      </c>
      <c r="B46">
        <v>0</v>
      </c>
      <c r="C46">
        <v>3.75</v>
      </c>
      <c r="D46">
        <v>1</v>
      </c>
      <c r="E46">
        <v>0</v>
      </c>
      <c r="F46">
        <v>0</v>
      </c>
      <c r="G46">
        <v>0</v>
      </c>
      <c r="H46">
        <v>10</v>
      </c>
    </row>
    <row r="47" spans="1:8" x14ac:dyDescent="0.4">
      <c r="A47">
        <v>0</v>
      </c>
      <c r="B47">
        <v>0</v>
      </c>
      <c r="C47">
        <v>4.25</v>
      </c>
      <c r="D47">
        <v>2</v>
      </c>
      <c r="E47">
        <v>0</v>
      </c>
      <c r="F47">
        <v>0</v>
      </c>
      <c r="G47">
        <v>1</v>
      </c>
      <c r="H47">
        <v>11</v>
      </c>
    </row>
    <row r="48" spans="1:8" x14ac:dyDescent="0.4">
      <c r="A48">
        <v>0</v>
      </c>
      <c r="B48">
        <v>0</v>
      </c>
      <c r="C48">
        <v>4</v>
      </c>
      <c r="D48">
        <v>2</v>
      </c>
      <c r="E48">
        <v>6</v>
      </c>
      <c r="F48">
        <v>1</v>
      </c>
      <c r="G48">
        <v>1</v>
      </c>
      <c r="H48">
        <v>10</v>
      </c>
    </row>
    <row r="49" spans="1:8" x14ac:dyDescent="0.4">
      <c r="A49">
        <v>0</v>
      </c>
      <c r="B49">
        <v>0</v>
      </c>
      <c r="C49">
        <v>7.5</v>
      </c>
      <c r="D49">
        <v>2</v>
      </c>
      <c r="E49">
        <v>0</v>
      </c>
      <c r="F49">
        <v>0</v>
      </c>
      <c r="G49">
        <v>1</v>
      </c>
      <c r="H49">
        <v>16</v>
      </c>
    </row>
    <row r="50" spans="1:8" x14ac:dyDescent="0.4">
      <c r="A50">
        <v>0</v>
      </c>
      <c r="B50">
        <v>0</v>
      </c>
      <c r="C50">
        <v>0.75</v>
      </c>
      <c r="D50">
        <v>1</v>
      </c>
      <c r="E50">
        <v>0</v>
      </c>
      <c r="F50">
        <v>0</v>
      </c>
      <c r="G50">
        <v>1</v>
      </c>
      <c r="H50">
        <v>13</v>
      </c>
    </row>
    <row r="51" spans="1:8" x14ac:dyDescent="0.4">
      <c r="A51">
        <v>0</v>
      </c>
      <c r="B51">
        <v>0</v>
      </c>
      <c r="C51">
        <v>9</v>
      </c>
      <c r="D51">
        <v>2</v>
      </c>
      <c r="E51">
        <v>0</v>
      </c>
      <c r="F51">
        <v>1</v>
      </c>
      <c r="G51">
        <v>1</v>
      </c>
      <c r="H51">
        <v>11</v>
      </c>
    </row>
    <row r="52" spans="1:8" x14ac:dyDescent="0.4">
      <c r="A52">
        <v>0</v>
      </c>
      <c r="B52">
        <v>0</v>
      </c>
      <c r="C52">
        <v>2.25</v>
      </c>
      <c r="D52">
        <v>1</v>
      </c>
      <c r="E52">
        <v>12</v>
      </c>
      <c r="F52">
        <v>0</v>
      </c>
      <c r="G52">
        <v>1</v>
      </c>
      <c r="H52">
        <v>17</v>
      </c>
    </row>
    <row r="53" spans="1:8" x14ac:dyDescent="0.4">
      <c r="A53">
        <v>1</v>
      </c>
      <c r="B53">
        <v>0</v>
      </c>
      <c r="C53">
        <v>6.25</v>
      </c>
      <c r="D53">
        <v>1</v>
      </c>
      <c r="E53">
        <v>4</v>
      </c>
      <c r="F53">
        <v>0</v>
      </c>
      <c r="G53">
        <v>1</v>
      </c>
      <c r="H53">
        <v>17</v>
      </c>
    </row>
    <row r="54" spans="1:8" x14ac:dyDescent="0.4">
      <c r="A54">
        <v>0</v>
      </c>
      <c r="B54">
        <v>0</v>
      </c>
      <c r="C54">
        <v>1.25</v>
      </c>
      <c r="D54">
        <v>2</v>
      </c>
      <c r="E54">
        <v>2</v>
      </c>
      <c r="F54">
        <v>0</v>
      </c>
      <c r="G54">
        <v>1</v>
      </c>
      <c r="H54">
        <v>12</v>
      </c>
    </row>
    <row r="55" spans="1:8" x14ac:dyDescent="0.4">
      <c r="A55">
        <v>1</v>
      </c>
      <c r="B55">
        <v>0</v>
      </c>
      <c r="C55">
        <v>1</v>
      </c>
      <c r="D55">
        <v>2</v>
      </c>
      <c r="E55">
        <v>8</v>
      </c>
      <c r="F55">
        <v>0</v>
      </c>
      <c r="G55">
        <v>1</v>
      </c>
      <c r="H55">
        <v>15</v>
      </c>
    </row>
    <row r="56" spans="1:8" x14ac:dyDescent="0.4">
      <c r="A56">
        <v>0</v>
      </c>
      <c r="B56">
        <v>0</v>
      </c>
      <c r="C56">
        <v>0.5</v>
      </c>
      <c r="D56">
        <v>3</v>
      </c>
      <c r="E56">
        <v>4</v>
      </c>
      <c r="F56">
        <v>0</v>
      </c>
      <c r="G56">
        <v>1</v>
      </c>
      <c r="H56">
        <v>14</v>
      </c>
    </row>
    <row r="57" spans="1:8" x14ac:dyDescent="0.4">
      <c r="A57">
        <v>1</v>
      </c>
      <c r="B57">
        <v>1</v>
      </c>
      <c r="C57">
        <v>1</v>
      </c>
      <c r="D57">
        <v>1</v>
      </c>
      <c r="E57">
        <v>0</v>
      </c>
      <c r="F57">
        <v>0</v>
      </c>
      <c r="G57">
        <v>1</v>
      </c>
      <c r="H57">
        <v>10</v>
      </c>
    </row>
    <row r="58" spans="1:8" x14ac:dyDescent="0.4">
      <c r="A58">
        <v>0</v>
      </c>
      <c r="B58">
        <v>0</v>
      </c>
      <c r="C58">
        <v>0.75</v>
      </c>
      <c r="D58">
        <v>1</v>
      </c>
      <c r="E58">
        <v>0</v>
      </c>
      <c r="F58">
        <v>0</v>
      </c>
      <c r="G58">
        <v>1</v>
      </c>
      <c r="H58">
        <v>10</v>
      </c>
    </row>
    <row r="59" spans="1:8" x14ac:dyDescent="0.4">
      <c r="A59">
        <v>0</v>
      </c>
      <c r="B59">
        <v>0</v>
      </c>
      <c r="C59">
        <v>10</v>
      </c>
      <c r="D59">
        <v>1</v>
      </c>
      <c r="E59">
        <v>0</v>
      </c>
      <c r="F59">
        <v>0</v>
      </c>
      <c r="G59">
        <v>1</v>
      </c>
      <c r="H59">
        <v>13</v>
      </c>
    </row>
    <row r="60" spans="1:8" x14ac:dyDescent="0.4">
      <c r="A60">
        <v>1</v>
      </c>
      <c r="B60">
        <v>1</v>
      </c>
      <c r="C60">
        <v>6</v>
      </c>
      <c r="D60">
        <v>3</v>
      </c>
      <c r="E60">
        <v>14</v>
      </c>
      <c r="F60">
        <v>1</v>
      </c>
      <c r="G60">
        <v>1</v>
      </c>
      <c r="H60">
        <v>10</v>
      </c>
    </row>
    <row r="61" spans="1:8" x14ac:dyDescent="0.4">
      <c r="A61">
        <v>1</v>
      </c>
      <c r="B61">
        <v>0</v>
      </c>
      <c r="C61">
        <v>5.5</v>
      </c>
      <c r="D61">
        <v>1</v>
      </c>
      <c r="E61">
        <v>0</v>
      </c>
      <c r="F61">
        <v>1</v>
      </c>
      <c r="G61">
        <v>1</v>
      </c>
      <c r="H61">
        <v>13</v>
      </c>
    </row>
    <row r="62" spans="1:8" x14ac:dyDescent="0.4">
      <c r="A62">
        <v>1</v>
      </c>
      <c r="B62">
        <v>0</v>
      </c>
      <c r="C62">
        <v>0.75</v>
      </c>
      <c r="D62">
        <v>2</v>
      </c>
      <c r="E62">
        <v>6</v>
      </c>
      <c r="F62">
        <v>0</v>
      </c>
      <c r="G62">
        <v>1</v>
      </c>
      <c r="H62">
        <v>11</v>
      </c>
    </row>
    <row r="63" spans="1:8" x14ac:dyDescent="0.4">
      <c r="A63">
        <v>1</v>
      </c>
      <c r="B63">
        <v>1</v>
      </c>
      <c r="C63">
        <v>3.5</v>
      </c>
      <c r="D63">
        <v>1</v>
      </c>
      <c r="E63">
        <v>2</v>
      </c>
      <c r="F63">
        <v>0</v>
      </c>
      <c r="G63">
        <v>1</v>
      </c>
      <c r="H63">
        <v>11</v>
      </c>
    </row>
    <row r="64" spans="1:8" x14ac:dyDescent="0.4">
      <c r="A64">
        <v>1</v>
      </c>
      <c r="B64">
        <v>0</v>
      </c>
      <c r="C64">
        <v>1.25</v>
      </c>
      <c r="D64">
        <v>3</v>
      </c>
      <c r="E64">
        <v>8</v>
      </c>
      <c r="F64">
        <v>0</v>
      </c>
      <c r="G64">
        <v>1</v>
      </c>
      <c r="H64">
        <v>12</v>
      </c>
    </row>
    <row r="65" spans="1:8" x14ac:dyDescent="0.4">
      <c r="A65">
        <v>0</v>
      </c>
      <c r="B65">
        <v>0</v>
      </c>
      <c r="C65">
        <v>13</v>
      </c>
      <c r="D65">
        <v>1</v>
      </c>
      <c r="E65">
        <v>0</v>
      </c>
      <c r="F65">
        <v>0</v>
      </c>
      <c r="G65">
        <v>1</v>
      </c>
      <c r="H65">
        <v>10</v>
      </c>
    </row>
    <row r="66" spans="1:8" x14ac:dyDescent="0.4">
      <c r="A66">
        <v>1</v>
      </c>
      <c r="B66">
        <v>1</v>
      </c>
      <c r="C66">
        <v>0</v>
      </c>
      <c r="D66">
        <v>3</v>
      </c>
      <c r="E66">
        <v>4</v>
      </c>
      <c r="F66">
        <v>0</v>
      </c>
      <c r="G66">
        <v>1</v>
      </c>
      <c r="H66">
        <v>16</v>
      </c>
    </row>
    <row r="67" spans="1:8" x14ac:dyDescent="0.4">
      <c r="A67">
        <v>0</v>
      </c>
      <c r="B67">
        <v>1</v>
      </c>
      <c r="C67">
        <v>2.5</v>
      </c>
      <c r="D67">
        <v>1</v>
      </c>
      <c r="E67">
        <v>4</v>
      </c>
      <c r="F67">
        <v>0</v>
      </c>
      <c r="G67">
        <v>1</v>
      </c>
      <c r="H67">
        <v>10</v>
      </c>
    </row>
    <row r="68" spans="1:8" x14ac:dyDescent="0.4">
      <c r="A68">
        <v>0</v>
      </c>
      <c r="B68">
        <v>1</v>
      </c>
      <c r="C68">
        <v>4.5</v>
      </c>
      <c r="D68">
        <v>1</v>
      </c>
      <c r="E68">
        <v>0</v>
      </c>
      <c r="F68">
        <v>0</v>
      </c>
      <c r="G68">
        <v>1</v>
      </c>
      <c r="H68">
        <v>10</v>
      </c>
    </row>
    <row r="69" spans="1:8" x14ac:dyDescent="0.4">
      <c r="A69">
        <v>1</v>
      </c>
      <c r="B69">
        <v>0</v>
      </c>
      <c r="C69">
        <v>2.25</v>
      </c>
      <c r="D69">
        <v>2</v>
      </c>
      <c r="E69">
        <v>0</v>
      </c>
      <c r="F69">
        <v>0</v>
      </c>
      <c r="G69">
        <v>1</v>
      </c>
      <c r="H69">
        <v>11</v>
      </c>
    </row>
    <row r="70" spans="1:8" x14ac:dyDescent="0.4">
      <c r="A70">
        <v>1</v>
      </c>
      <c r="B70">
        <v>0</v>
      </c>
      <c r="C70">
        <v>4.25</v>
      </c>
      <c r="D70">
        <v>1</v>
      </c>
      <c r="E70">
        <v>4</v>
      </c>
      <c r="F70">
        <v>0</v>
      </c>
      <c r="G70">
        <v>1</v>
      </c>
      <c r="H70">
        <v>16</v>
      </c>
    </row>
    <row r="71" spans="1:8" x14ac:dyDescent="0.4">
      <c r="A71">
        <v>1</v>
      </c>
      <c r="B71">
        <v>0</v>
      </c>
      <c r="C71">
        <v>3</v>
      </c>
      <c r="D71">
        <v>3</v>
      </c>
      <c r="E71">
        <v>0</v>
      </c>
      <c r="F71">
        <v>0</v>
      </c>
      <c r="G71">
        <v>1</v>
      </c>
      <c r="H71">
        <v>0</v>
      </c>
    </row>
    <row r="72" spans="1:8" x14ac:dyDescent="0.4">
      <c r="A72">
        <v>0</v>
      </c>
      <c r="B72">
        <v>0</v>
      </c>
      <c r="C72">
        <v>8.5</v>
      </c>
      <c r="D72">
        <v>1</v>
      </c>
      <c r="E72">
        <v>0</v>
      </c>
      <c r="F72">
        <v>0</v>
      </c>
      <c r="G72">
        <v>1</v>
      </c>
      <c r="H72">
        <v>10</v>
      </c>
    </row>
    <row r="73" spans="1:8" x14ac:dyDescent="0.4">
      <c r="A73">
        <v>1</v>
      </c>
      <c r="B73">
        <v>0</v>
      </c>
      <c r="C73">
        <v>2</v>
      </c>
      <c r="D73">
        <v>1</v>
      </c>
      <c r="E73">
        <v>0</v>
      </c>
      <c r="F73">
        <v>0</v>
      </c>
      <c r="G73">
        <v>1</v>
      </c>
      <c r="H73">
        <v>15</v>
      </c>
    </row>
    <row r="74" spans="1:8" x14ac:dyDescent="0.4">
      <c r="A74">
        <v>1</v>
      </c>
      <c r="B74">
        <v>2</v>
      </c>
      <c r="C74">
        <v>0.5</v>
      </c>
      <c r="D74">
        <v>3</v>
      </c>
      <c r="E74">
        <v>4</v>
      </c>
      <c r="F74">
        <v>0</v>
      </c>
      <c r="G74">
        <v>1</v>
      </c>
      <c r="H74">
        <v>16</v>
      </c>
    </row>
    <row r="75" spans="1:8" x14ac:dyDescent="0.4">
      <c r="A75">
        <v>0</v>
      </c>
      <c r="B75">
        <v>1</v>
      </c>
      <c r="C75">
        <v>0</v>
      </c>
      <c r="D75">
        <v>1</v>
      </c>
      <c r="E75">
        <v>0</v>
      </c>
      <c r="F75">
        <v>0</v>
      </c>
      <c r="G75">
        <v>1</v>
      </c>
      <c r="H75">
        <v>12</v>
      </c>
    </row>
    <row r="76" spans="1:8" x14ac:dyDescent="0.4">
      <c r="A76">
        <v>1</v>
      </c>
      <c r="B76">
        <v>0</v>
      </c>
      <c r="C76">
        <v>4</v>
      </c>
      <c r="D76">
        <v>1</v>
      </c>
      <c r="E76">
        <v>4</v>
      </c>
      <c r="F76">
        <v>1</v>
      </c>
      <c r="G76">
        <v>1</v>
      </c>
      <c r="H76">
        <v>11</v>
      </c>
    </row>
    <row r="77" spans="1:8" x14ac:dyDescent="0.4">
      <c r="A77">
        <v>1</v>
      </c>
      <c r="B77">
        <v>0</v>
      </c>
      <c r="C77">
        <v>2</v>
      </c>
      <c r="D77">
        <v>1</v>
      </c>
      <c r="E77">
        <v>0</v>
      </c>
      <c r="F77">
        <v>0</v>
      </c>
      <c r="G77">
        <v>1</v>
      </c>
      <c r="H77">
        <v>12</v>
      </c>
    </row>
    <row r="78" spans="1:8" x14ac:dyDescent="0.4">
      <c r="A78">
        <v>1</v>
      </c>
      <c r="B78">
        <v>0</v>
      </c>
      <c r="C78">
        <v>4.75</v>
      </c>
      <c r="D78">
        <v>2</v>
      </c>
      <c r="E78">
        <v>6</v>
      </c>
      <c r="F78">
        <v>1</v>
      </c>
      <c r="G78">
        <v>1</v>
      </c>
      <c r="H78">
        <v>12</v>
      </c>
    </row>
    <row r="79" spans="1:8" x14ac:dyDescent="0.4">
      <c r="A79">
        <v>0</v>
      </c>
      <c r="B79">
        <v>0</v>
      </c>
      <c r="C79">
        <v>4.5</v>
      </c>
      <c r="D79">
        <v>3</v>
      </c>
      <c r="E79">
        <v>16</v>
      </c>
      <c r="F79">
        <v>0</v>
      </c>
      <c r="G79">
        <v>1</v>
      </c>
      <c r="H79">
        <v>12</v>
      </c>
    </row>
    <row r="80" spans="1:8" x14ac:dyDescent="0.4">
      <c r="A80">
        <v>1</v>
      </c>
      <c r="B80">
        <v>0</v>
      </c>
      <c r="C80">
        <v>14.75</v>
      </c>
      <c r="D80">
        <v>1</v>
      </c>
      <c r="E80">
        <v>4</v>
      </c>
      <c r="F80">
        <v>0</v>
      </c>
      <c r="G80">
        <v>1</v>
      </c>
      <c r="H80">
        <v>15</v>
      </c>
    </row>
    <row r="81" spans="1:8" x14ac:dyDescent="0.4">
      <c r="A81">
        <v>1</v>
      </c>
      <c r="B81">
        <v>0</v>
      </c>
      <c r="C81">
        <v>0.75</v>
      </c>
      <c r="D81">
        <v>1</v>
      </c>
      <c r="E81">
        <v>0</v>
      </c>
      <c r="F81">
        <v>0</v>
      </c>
      <c r="G81">
        <v>1</v>
      </c>
      <c r="H81">
        <v>12</v>
      </c>
    </row>
    <row r="82" spans="1:8" x14ac:dyDescent="0.4">
      <c r="A82">
        <v>0</v>
      </c>
      <c r="B82">
        <v>1</v>
      </c>
      <c r="C82">
        <v>0.5</v>
      </c>
      <c r="D82">
        <v>1</v>
      </c>
      <c r="E82">
        <v>14</v>
      </c>
      <c r="F82">
        <v>1</v>
      </c>
      <c r="G82">
        <v>1</v>
      </c>
      <c r="H82">
        <v>8</v>
      </c>
    </row>
    <row r="83" spans="1:8" x14ac:dyDescent="0.4">
      <c r="A83">
        <v>1</v>
      </c>
      <c r="B83">
        <v>0</v>
      </c>
      <c r="C83">
        <v>0.75</v>
      </c>
      <c r="D83">
        <v>5</v>
      </c>
      <c r="E83">
        <v>8</v>
      </c>
      <c r="F83">
        <v>0</v>
      </c>
      <c r="G83">
        <v>1</v>
      </c>
      <c r="H83">
        <v>11</v>
      </c>
    </row>
    <row r="84" spans="1:8" x14ac:dyDescent="0.4">
      <c r="A84">
        <v>0</v>
      </c>
      <c r="B84">
        <v>0</v>
      </c>
      <c r="C84">
        <v>9.25</v>
      </c>
      <c r="D84">
        <v>2</v>
      </c>
      <c r="E84">
        <v>10</v>
      </c>
      <c r="F84">
        <v>0</v>
      </c>
      <c r="G84">
        <v>1</v>
      </c>
      <c r="H84">
        <v>11</v>
      </c>
    </row>
    <row r="85" spans="1:8" x14ac:dyDescent="0.4">
      <c r="A85">
        <v>1</v>
      </c>
      <c r="B85">
        <v>2</v>
      </c>
      <c r="C85">
        <v>2.25</v>
      </c>
      <c r="D85">
        <v>1</v>
      </c>
      <c r="E85">
        <v>0</v>
      </c>
      <c r="F85">
        <v>0</v>
      </c>
      <c r="G85">
        <v>1</v>
      </c>
      <c r="H85">
        <v>16</v>
      </c>
    </row>
    <row r="86" spans="1:8" x14ac:dyDescent="0.4">
      <c r="A86">
        <v>0</v>
      </c>
      <c r="B86">
        <v>0</v>
      </c>
      <c r="C86">
        <v>0</v>
      </c>
      <c r="D86">
        <v>2</v>
      </c>
      <c r="E86">
        <v>0</v>
      </c>
      <c r="F86">
        <v>0</v>
      </c>
      <c r="G86">
        <v>1</v>
      </c>
      <c r="H86">
        <v>12</v>
      </c>
    </row>
    <row r="87" spans="1:8" x14ac:dyDescent="0.4">
      <c r="A87">
        <v>1</v>
      </c>
      <c r="B87">
        <v>0</v>
      </c>
      <c r="C87">
        <v>9.5</v>
      </c>
      <c r="D87">
        <v>1</v>
      </c>
      <c r="E87">
        <v>0</v>
      </c>
      <c r="F87">
        <v>0</v>
      </c>
      <c r="G87">
        <v>1</v>
      </c>
      <c r="H87">
        <v>13</v>
      </c>
    </row>
    <row r="88" spans="1:8" x14ac:dyDescent="0.4">
      <c r="A88">
        <v>1</v>
      </c>
      <c r="B88">
        <v>0</v>
      </c>
      <c r="C88">
        <v>2.75</v>
      </c>
      <c r="D88">
        <v>1</v>
      </c>
      <c r="E88">
        <v>2</v>
      </c>
      <c r="F88">
        <v>0</v>
      </c>
      <c r="G88">
        <v>1</v>
      </c>
      <c r="H88">
        <v>13</v>
      </c>
    </row>
    <row r="89" spans="1:8" x14ac:dyDescent="0.4">
      <c r="A89">
        <v>1</v>
      </c>
      <c r="B89">
        <v>0</v>
      </c>
      <c r="C89">
        <v>1</v>
      </c>
      <c r="D89">
        <v>2</v>
      </c>
      <c r="E89">
        <v>0</v>
      </c>
      <c r="F89">
        <v>0</v>
      </c>
      <c r="G89">
        <v>0</v>
      </c>
      <c r="H89">
        <v>9</v>
      </c>
    </row>
    <row r="90" spans="1:8" x14ac:dyDescent="0.4">
      <c r="A90">
        <v>0</v>
      </c>
      <c r="B90">
        <v>0</v>
      </c>
      <c r="C90">
        <v>3.25</v>
      </c>
      <c r="D90">
        <v>1</v>
      </c>
      <c r="E90">
        <v>0</v>
      </c>
      <c r="F90">
        <v>0</v>
      </c>
      <c r="G90">
        <v>1</v>
      </c>
      <c r="H90">
        <v>8</v>
      </c>
    </row>
    <row r="91" spans="1:8" x14ac:dyDescent="0.4">
      <c r="A91">
        <v>1</v>
      </c>
      <c r="B91">
        <v>0</v>
      </c>
      <c r="C91">
        <v>15</v>
      </c>
      <c r="D91">
        <v>2</v>
      </c>
      <c r="E91">
        <v>1</v>
      </c>
      <c r="F91">
        <v>0</v>
      </c>
      <c r="G91">
        <v>1</v>
      </c>
      <c r="H91">
        <v>10</v>
      </c>
    </row>
    <row r="92" spans="1:8" x14ac:dyDescent="0.4">
      <c r="A92">
        <v>1</v>
      </c>
      <c r="B92">
        <v>0</v>
      </c>
      <c r="C92">
        <v>3.25</v>
      </c>
      <c r="D92">
        <v>3</v>
      </c>
      <c r="E92">
        <v>0</v>
      </c>
      <c r="F92">
        <v>0</v>
      </c>
      <c r="G92">
        <v>1</v>
      </c>
      <c r="H92">
        <v>13</v>
      </c>
    </row>
    <row r="93" spans="1:8" x14ac:dyDescent="0.4">
      <c r="A93">
        <v>0</v>
      </c>
      <c r="B93">
        <v>0</v>
      </c>
      <c r="C93">
        <v>0.5</v>
      </c>
      <c r="D93">
        <v>2</v>
      </c>
      <c r="E93">
        <v>2</v>
      </c>
      <c r="F93">
        <v>0</v>
      </c>
      <c r="G93">
        <v>1</v>
      </c>
      <c r="H93">
        <v>10</v>
      </c>
    </row>
    <row r="94" spans="1:8" x14ac:dyDescent="0.4">
      <c r="A94">
        <v>0</v>
      </c>
      <c r="B94">
        <v>0</v>
      </c>
      <c r="C94">
        <v>1</v>
      </c>
      <c r="D94">
        <v>1</v>
      </c>
      <c r="E94">
        <v>1</v>
      </c>
      <c r="F94">
        <v>0</v>
      </c>
      <c r="G94">
        <v>1</v>
      </c>
      <c r="H94">
        <v>13</v>
      </c>
    </row>
    <row r="95" spans="1:8" x14ac:dyDescent="0.4">
      <c r="A95">
        <v>0</v>
      </c>
      <c r="B95">
        <v>0</v>
      </c>
      <c r="C95">
        <v>3.75</v>
      </c>
      <c r="D95">
        <v>1</v>
      </c>
      <c r="E95">
        <v>4</v>
      </c>
      <c r="F95">
        <v>0</v>
      </c>
      <c r="G95">
        <v>1</v>
      </c>
      <c r="H95">
        <v>16</v>
      </c>
    </row>
    <row r="96" spans="1:8" x14ac:dyDescent="0.4">
      <c r="A96">
        <v>0</v>
      </c>
      <c r="B96">
        <v>0</v>
      </c>
      <c r="C96">
        <v>0.25</v>
      </c>
      <c r="D96">
        <v>1</v>
      </c>
      <c r="E96">
        <v>10</v>
      </c>
      <c r="F96">
        <v>0</v>
      </c>
      <c r="G96">
        <v>1</v>
      </c>
      <c r="H96">
        <v>13</v>
      </c>
    </row>
    <row r="97" spans="1:8" x14ac:dyDescent="0.4">
      <c r="A97">
        <v>0</v>
      </c>
      <c r="B97">
        <v>0</v>
      </c>
      <c r="C97">
        <v>6.75</v>
      </c>
      <c r="D97">
        <v>2</v>
      </c>
      <c r="E97">
        <v>0</v>
      </c>
      <c r="F97">
        <v>0</v>
      </c>
      <c r="G97">
        <v>1</v>
      </c>
      <c r="H97">
        <v>17</v>
      </c>
    </row>
    <row r="98" spans="1:8" x14ac:dyDescent="0.4">
      <c r="A98">
        <v>0</v>
      </c>
      <c r="B98">
        <v>0</v>
      </c>
      <c r="C98">
        <v>1.5</v>
      </c>
      <c r="D98">
        <v>2</v>
      </c>
      <c r="E98">
        <v>11</v>
      </c>
      <c r="F98">
        <v>0</v>
      </c>
      <c r="G98">
        <v>1</v>
      </c>
      <c r="H98">
        <v>10</v>
      </c>
    </row>
    <row r="99" spans="1:8" x14ac:dyDescent="0.4">
      <c r="A99">
        <v>0</v>
      </c>
      <c r="B99">
        <v>0</v>
      </c>
      <c r="C99">
        <v>3</v>
      </c>
      <c r="D99">
        <v>3</v>
      </c>
      <c r="E99">
        <v>0</v>
      </c>
      <c r="F99">
        <v>0</v>
      </c>
      <c r="G99">
        <v>1</v>
      </c>
      <c r="H99">
        <v>13</v>
      </c>
    </row>
    <row r="100" spans="1:8" x14ac:dyDescent="0.4">
      <c r="A100">
        <v>1</v>
      </c>
      <c r="B100">
        <v>0</v>
      </c>
      <c r="C100">
        <v>1.75</v>
      </c>
      <c r="D100">
        <v>1</v>
      </c>
      <c r="E100">
        <v>4</v>
      </c>
      <c r="F100">
        <v>0</v>
      </c>
      <c r="G100">
        <v>0</v>
      </c>
      <c r="H100">
        <v>10</v>
      </c>
    </row>
    <row r="101" spans="1:8" x14ac:dyDescent="0.4">
      <c r="A101">
        <v>0</v>
      </c>
      <c r="B101">
        <v>1</v>
      </c>
      <c r="C101">
        <v>4.5</v>
      </c>
      <c r="D101">
        <v>2</v>
      </c>
      <c r="E101">
        <v>8</v>
      </c>
      <c r="F101">
        <v>0</v>
      </c>
      <c r="G101">
        <v>0</v>
      </c>
      <c r="H101">
        <v>10</v>
      </c>
    </row>
    <row r="102" spans="1:8" x14ac:dyDescent="0.4">
      <c r="A102">
        <v>1</v>
      </c>
      <c r="B102">
        <v>0</v>
      </c>
      <c r="C102">
        <v>9.5</v>
      </c>
      <c r="D102">
        <v>1</v>
      </c>
      <c r="E102">
        <v>0</v>
      </c>
      <c r="F102">
        <v>0</v>
      </c>
      <c r="G102">
        <v>1</v>
      </c>
      <c r="H102">
        <v>17</v>
      </c>
    </row>
    <row r="103" spans="1:8" x14ac:dyDescent="0.4">
      <c r="A103">
        <v>0</v>
      </c>
      <c r="B103">
        <v>0</v>
      </c>
      <c r="C103">
        <v>1.75</v>
      </c>
      <c r="D103">
        <v>1</v>
      </c>
      <c r="E103">
        <v>4</v>
      </c>
      <c r="F103">
        <v>0</v>
      </c>
      <c r="G103">
        <v>1</v>
      </c>
      <c r="H103">
        <v>17</v>
      </c>
    </row>
    <row r="104" spans="1:8" x14ac:dyDescent="0.4">
      <c r="A104">
        <v>1</v>
      </c>
      <c r="B104">
        <v>2</v>
      </c>
      <c r="C104">
        <v>9.5</v>
      </c>
      <c r="D104">
        <v>1</v>
      </c>
      <c r="E104">
        <v>6</v>
      </c>
      <c r="F104">
        <v>1</v>
      </c>
      <c r="G104">
        <v>1</v>
      </c>
      <c r="H104">
        <v>12</v>
      </c>
    </row>
    <row r="105" spans="1:8" x14ac:dyDescent="0.4">
      <c r="A105">
        <v>0</v>
      </c>
      <c r="B105">
        <v>0</v>
      </c>
      <c r="C105">
        <v>4.75</v>
      </c>
      <c r="D105">
        <v>1</v>
      </c>
      <c r="E105">
        <v>6</v>
      </c>
      <c r="F105">
        <v>0</v>
      </c>
      <c r="G105">
        <v>1</v>
      </c>
      <c r="H105">
        <v>12</v>
      </c>
    </row>
    <row r="106" spans="1:8" x14ac:dyDescent="0.4">
      <c r="A106">
        <v>0</v>
      </c>
      <c r="B106">
        <v>0</v>
      </c>
      <c r="C106">
        <v>4.75</v>
      </c>
      <c r="D106">
        <v>3</v>
      </c>
      <c r="E106">
        <v>6</v>
      </c>
      <c r="F106">
        <v>0</v>
      </c>
      <c r="G106">
        <v>1</v>
      </c>
      <c r="H106">
        <v>15</v>
      </c>
    </row>
    <row r="107" spans="1:8" x14ac:dyDescent="0.4">
      <c r="A107">
        <v>0</v>
      </c>
      <c r="B107">
        <v>1</v>
      </c>
      <c r="C107">
        <v>0.75</v>
      </c>
      <c r="D107">
        <v>2</v>
      </c>
      <c r="E107">
        <v>0</v>
      </c>
      <c r="F107">
        <v>0</v>
      </c>
      <c r="G107">
        <v>1</v>
      </c>
      <c r="H107">
        <v>11</v>
      </c>
    </row>
    <row r="108" spans="1:8" x14ac:dyDescent="0.4">
      <c r="A108">
        <v>1</v>
      </c>
      <c r="B108">
        <v>0</v>
      </c>
      <c r="C108">
        <v>2.75</v>
      </c>
      <c r="D108">
        <v>1</v>
      </c>
      <c r="E108">
        <v>0</v>
      </c>
      <c r="F108">
        <v>1</v>
      </c>
      <c r="G108">
        <v>1</v>
      </c>
      <c r="H108">
        <v>12</v>
      </c>
    </row>
    <row r="109" spans="1:8" x14ac:dyDescent="0.4">
      <c r="A109">
        <v>1</v>
      </c>
      <c r="B109">
        <v>0</v>
      </c>
      <c r="C109">
        <v>0.75</v>
      </c>
      <c r="D109">
        <v>1</v>
      </c>
      <c r="E109">
        <v>0</v>
      </c>
      <c r="F109">
        <v>0</v>
      </c>
      <c r="G109">
        <v>1</v>
      </c>
      <c r="H109">
        <v>14</v>
      </c>
    </row>
    <row r="110" spans="1:8" x14ac:dyDescent="0.4">
      <c r="A110">
        <v>0</v>
      </c>
      <c r="B110">
        <v>0</v>
      </c>
      <c r="C110">
        <v>3.5</v>
      </c>
      <c r="D110">
        <v>1</v>
      </c>
      <c r="E110">
        <v>0</v>
      </c>
      <c r="F110">
        <v>0</v>
      </c>
      <c r="G110">
        <v>1</v>
      </c>
      <c r="H110">
        <v>9</v>
      </c>
    </row>
    <row r="111" spans="1:8" x14ac:dyDescent="0.4">
      <c r="A111">
        <v>0</v>
      </c>
      <c r="B111">
        <v>0</v>
      </c>
      <c r="C111">
        <v>8.5</v>
      </c>
      <c r="D111">
        <v>2</v>
      </c>
      <c r="E111">
        <v>5</v>
      </c>
      <c r="F111">
        <v>0</v>
      </c>
      <c r="G111">
        <v>1</v>
      </c>
      <c r="H111">
        <v>12</v>
      </c>
    </row>
    <row r="112" spans="1:8" x14ac:dyDescent="0.4">
      <c r="A112">
        <v>1</v>
      </c>
      <c r="B112">
        <v>0</v>
      </c>
      <c r="C112">
        <v>3.25</v>
      </c>
      <c r="D112">
        <v>3</v>
      </c>
      <c r="E112">
        <v>4</v>
      </c>
      <c r="F112">
        <v>0</v>
      </c>
      <c r="G112">
        <v>1</v>
      </c>
      <c r="H112">
        <v>12</v>
      </c>
    </row>
    <row r="113" spans="1:8" x14ac:dyDescent="0.4">
      <c r="A113">
        <v>0</v>
      </c>
      <c r="B113">
        <v>0</v>
      </c>
      <c r="C113">
        <v>2.25</v>
      </c>
      <c r="D113">
        <v>1</v>
      </c>
      <c r="E113">
        <v>0</v>
      </c>
      <c r="F113">
        <v>0</v>
      </c>
      <c r="G113">
        <v>1</v>
      </c>
      <c r="H113">
        <v>17</v>
      </c>
    </row>
    <row r="114" spans="1:8" x14ac:dyDescent="0.4">
      <c r="A114">
        <v>0</v>
      </c>
      <c r="B114">
        <v>0</v>
      </c>
      <c r="C114">
        <v>3.5</v>
      </c>
      <c r="D114">
        <v>1</v>
      </c>
      <c r="E114">
        <v>14</v>
      </c>
      <c r="F114">
        <v>0</v>
      </c>
      <c r="G114">
        <v>1</v>
      </c>
      <c r="H114">
        <v>8</v>
      </c>
    </row>
    <row r="115" spans="1:8" x14ac:dyDescent="0.4">
      <c r="A115">
        <v>1</v>
      </c>
      <c r="B115">
        <v>0</v>
      </c>
      <c r="C115">
        <v>2.5</v>
      </c>
      <c r="D115">
        <v>1</v>
      </c>
      <c r="E115">
        <v>6</v>
      </c>
      <c r="F115">
        <v>0</v>
      </c>
      <c r="G115">
        <v>1</v>
      </c>
      <c r="H115">
        <v>12</v>
      </c>
    </row>
    <row r="116" spans="1:8" x14ac:dyDescent="0.4">
      <c r="A116">
        <v>1</v>
      </c>
      <c r="B116">
        <v>0</v>
      </c>
      <c r="C116">
        <v>3</v>
      </c>
      <c r="D116">
        <v>2</v>
      </c>
      <c r="E116">
        <v>2</v>
      </c>
      <c r="F116">
        <v>1</v>
      </c>
      <c r="G116">
        <v>1</v>
      </c>
      <c r="H116">
        <v>11</v>
      </c>
    </row>
    <row r="117" spans="1:8" x14ac:dyDescent="0.4">
      <c r="A117">
        <v>1</v>
      </c>
      <c r="B117">
        <v>0</v>
      </c>
      <c r="C117">
        <v>1.5</v>
      </c>
      <c r="D117">
        <v>1</v>
      </c>
      <c r="E117">
        <v>6</v>
      </c>
      <c r="F117">
        <v>0</v>
      </c>
      <c r="G117">
        <v>1</v>
      </c>
      <c r="H117">
        <v>10</v>
      </c>
    </row>
    <row r="118" spans="1:8" x14ac:dyDescent="0.4">
      <c r="A118">
        <v>0</v>
      </c>
      <c r="B118">
        <v>0</v>
      </c>
      <c r="C118">
        <v>1.5</v>
      </c>
      <c r="D118">
        <v>2</v>
      </c>
      <c r="E118">
        <v>0</v>
      </c>
      <c r="F118">
        <v>0</v>
      </c>
      <c r="G118">
        <v>1</v>
      </c>
      <c r="H118">
        <v>18</v>
      </c>
    </row>
    <row r="119" spans="1:8" x14ac:dyDescent="0.4">
      <c r="A119">
        <v>1</v>
      </c>
      <c r="B119">
        <v>1</v>
      </c>
      <c r="C119">
        <v>0.25</v>
      </c>
      <c r="D119">
        <v>1</v>
      </c>
      <c r="E119">
        <v>5</v>
      </c>
      <c r="F119">
        <v>0</v>
      </c>
      <c r="G119">
        <v>1</v>
      </c>
      <c r="H119">
        <v>14</v>
      </c>
    </row>
    <row r="120" spans="1:8" x14ac:dyDescent="0.4">
      <c r="A120">
        <v>0</v>
      </c>
      <c r="B120">
        <v>0</v>
      </c>
      <c r="C120">
        <v>3.25</v>
      </c>
      <c r="D120">
        <v>1</v>
      </c>
      <c r="E120">
        <v>2</v>
      </c>
      <c r="F120">
        <v>0</v>
      </c>
      <c r="G120">
        <v>1</v>
      </c>
      <c r="H120">
        <v>12</v>
      </c>
    </row>
    <row r="121" spans="1:8" x14ac:dyDescent="0.4">
      <c r="A121">
        <v>0</v>
      </c>
      <c r="B121">
        <v>0</v>
      </c>
      <c r="C121">
        <v>0.25</v>
      </c>
      <c r="D121">
        <v>2</v>
      </c>
      <c r="E121">
        <v>10</v>
      </c>
      <c r="F121">
        <v>0</v>
      </c>
      <c r="G121">
        <v>1</v>
      </c>
      <c r="H121">
        <v>11</v>
      </c>
    </row>
    <row r="122" spans="1:8" x14ac:dyDescent="0.4">
      <c r="A122">
        <v>1</v>
      </c>
      <c r="B122">
        <v>0</v>
      </c>
      <c r="C122">
        <v>13.75</v>
      </c>
      <c r="D122">
        <v>1</v>
      </c>
      <c r="E122">
        <v>6</v>
      </c>
      <c r="F122">
        <v>0</v>
      </c>
      <c r="G122">
        <v>1</v>
      </c>
      <c r="H122">
        <v>17</v>
      </c>
    </row>
    <row r="123" spans="1:8" x14ac:dyDescent="0.4">
      <c r="A123">
        <v>0</v>
      </c>
      <c r="B123">
        <v>1</v>
      </c>
      <c r="C123">
        <v>0.75</v>
      </c>
      <c r="D123">
        <v>1</v>
      </c>
      <c r="E123">
        <v>14</v>
      </c>
      <c r="F123">
        <v>0</v>
      </c>
      <c r="G123">
        <v>0</v>
      </c>
      <c r="H123">
        <v>7</v>
      </c>
    </row>
    <row r="124" spans="1:8" x14ac:dyDescent="0.4">
      <c r="A124">
        <v>1</v>
      </c>
      <c r="B124">
        <v>0</v>
      </c>
      <c r="C124">
        <v>3.75</v>
      </c>
      <c r="D124">
        <v>1</v>
      </c>
      <c r="E124">
        <v>0</v>
      </c>
      <c r="F124">
        <v>0</v>
      </c>
      <c r="G124">
        <v>0</v>
      </c>
      <c r="H124">
        <v>9</v>
      </c>
    </row>
    <row r="125" spans="1:8" x14ac:dyDescent="0.4">
      <c r="A125">
        <v>1</v>
      </c>
      <c r="B125">
        <v>2</v>
      </c>
      <c r="C125">
        <v>3.75</v>
      </c>
      <c r="D125">
        <v>2</v>
      </c>
      <c r="E125">
        <v>4</v>
      </c>
      <c r="F125">
        <v>1</v>
      </c>
      <c r="G125">
        <v>1</v>
      </c>
      <c r="H125">
        <v>14</v>
      </c>
    </row>
    <row r="126" spans="1:8" x14ac:dyDescent="0.4">
      <c r="A126">
        <v>0</v>
      </c>
      <c r="B126">
        <v>0</v>
      </c>
      <c r="C126">
        <v>8.75</v>
      </c>
      <c r="D126">
        <v>1</v>
      </c>
      <c r="E126">
        <v>0</v>
      </c>
      <c r="F126">
        <v>0</v>
      </c>
      <c r="G126">
        <v>1</v>
      </c>
      <c r="H126">
        <v>19</v>
      </c>
    </row>
    <row r="127" spans="1:8" x14ac:dyDescent="0.4">
      <c r="A127">
        <v>1</v>
      </c>
      <c r="B127">
        <v>0</v>
      </c>
      <c r="C127">
        <v>4.5</v>
      </c>
      <c r="D127">
        <v>2</v>
      </c>
      <c r="E127">
        <v>2</v>
      </c>
      <c r="F127">
        <v>0</v>
      </c>
      <c r="G127">
        <v>1</v>
      </c>
      <c r="H127">
        <v>16</v>
      </c>
    </row>
    <row r="128" spans="1:8" x14ac:dyDescent="0.4">
      <c r="A128">
        <v>0</v>
      </c>
      <c r="B128">
        <v>0</v>
      </c>
      <c r="C128">
        <v>3.5</v>
      </c>
      <c r="D128">
        <v>3</v>
      </c>
      <c r="E128">
        <v>0</v>
      </c>
      <c r="F128">
        <v>0</v>
      </c>
      <c r="G128">
        <v>1</v>
      </c>
      <c r="H128">
        <v>10</v>
      </c>
    </row>
    <row r="129" spans="1:8" x14ac:dyDescent="0.4">
      <c r="A129">
        <v>0</v>
      </c>
      <c r="B129">
        <v>0</v>
      </c>
      <c r="C129">
        <v>4.75</v>
      </c>
      <c r="D129">
        <v>1</v>
      </c>
      <c r="E129">
        <v>4</v>
      </c>
      <c r="F129">
        <v>0</v>
      </c>
      <c r="G129">
        <v>1</v>
      </c>
      <c r="H129">
        <v>9</v>
      </c>
    </row>
    <row r="130" spans="1:8" x14ac:dyDescent="0.4">
      <c r="A130">
        <v>1</v>
      </c>
      <c r="B130">
        <v>0</v>
      </c>
      <c r="C130">
        <v>0.75</v>
      </c>
      <c r="D130">
        <v>1</v>
      </c>
      <c r="E130">
        <v>1</v>
      </c>
      <c r="F130">
        <v>0</v>
      </c>
      <c r="G130">
        <v>1</v>
      </c>
      <c r="H130">
        <v>8</v>
      </c>
    </row>
    <row r="131" spans="1:8" x14ac:dyDescent="0.4">
      <c r="A131">
        <v>1</v>
      </c>
      <c r="B131">
        <v>1</v>
      </c>
      <c r="C131">
        <v>0.25</v>
      </c>
      <c r="D131">
        <v>1</v>
      </c>
      <c r="E131">
        <v>0</v>
      </c>
      <c r="F131">
        <v>0</v>
      </c>
      <c r="G131">
        <v>1</v>
      </c>
      <c r="H131">
        <v>13</v>
      </c>
    </row>
    <row r="132" spans="1:8" x14ac:dyDescent="0.4">
      <c r="A132">
        <v>1</v>
      </c>
      <c r="B132">
        <v>0</v>
      </c>
      <c r="C132">
        <v>0</v>
      </c>
      <c r="D132">
        <v>1</v>
      </c>
      <c r="E132">
        <v>0</v>
      </c>
      <c r="F132">
        <v>0</v>
      </c>
      <c r="G132">
        <v>1</v>
      </c>
      <c r="H132">
        <v>12</v>
      </c>
    </row>
    <row r="133" spans="1:8" x14ac:dyDescent="0.4">
      <c r="A133">
        <v>0</v>
      </c>
      <c r="B133">
        <v>1</v>
      </c>
      <c r="C133">
        <v>1.25</v>
      </c>
      <c r="D133">
        <v>1</v>
      </c>
      <c r="E133">
        <v>4</v>
      </c>
      <c r="F133">
        <v>0</v>
      </c>
      <c r="G133">
        <v>1</v>
      </c>
      <c r="H133">
        <v>10</v>
      </c>
    </row>
    <row r="134" spans="1:8" x14ac:dyDescent="0.4">
      <c r="A134">
        <v>0</v>
      </c>
      <c r="B134">
        <v>0</v>
      </c>
      <c r="C134">
        <v>1</v>
      </c>
      <c r="D134">
        <v>1</v>
      </c>
      <c r="E134">
        <v>0</v>
      </c>
      <c r="F134">
        <v>0</v>
      </c>
      <c r="G134">
        <v>1</v>
      </c>
      <c r="H134">
        <v>15</v>
      </c>
    </row>
    <row r="135" spans="1:8" x14ac:dyDescent="0.4">
      <c r="A135">
        <v>0</v>
      </c>
      <c r="B135">
        <v>0</v>
      </c>
      <c r="C135">
        <v>3.25</v>
      </c>
      <c r="D135">
        <v>1</v>
      </c>
      <c r="E135">
        <v>2</v>
      </c>
      <c r="F135">
        <v>0</v>
      </c>
      <c r="G135">
        <v>1</v>
      </c>
      <c r="H135">
        <v>14</v>
      </c>
    </row>
    <row r="136" spans="1:8" x14ac:dyDescent="0.4">
      <c r="A136">
        <v>0</v>
      </c>
      <c r="B136">
        <v>0</v>
      </c>
      <c r="C136">
        <v>1.5</v>
      </c>
      <c r="D136">
        <v>1</v>
      </c>
      <c r="E136">
        <v>0</v>
      </c>
      <c r="F136">
        <v>0</v>
      </c>
      <c r="G136">
        <v>1</v>
      </c>
      <c r="H136">
        <v>9</v>
      </c>
    </row>
    <row r="137" spans="1:8" x14ac:dyDescent="0.4">
      <c r="A137">
        <v>1</v>
      </c>
      <c r="B137">
        <v>1</v>
      </c>
      <c r="C137">
        <v>1</v>
      </c>
      <c r="D137">
        <v>1</v>
      </c>
      <c r="E137">
        <v>4</v>
      </c>
      <c r="F137">
        <v>0</v>
      </c>
      <c r="G137">
        <v>1</v>
      </c>
      <c r="H137">
        <v>11</v>
      </c>
    </row>
    <row r="138" spans="1:8" x14ac:dyDescent="0.4">
      <c r="A138">
        <v>1</v>
      </c>
      <c r="B138">
        <v>0</v>
      </c>
      <c r="C138">
        <v>0.75</v>
      </c>
      <c r="D138">
        <v>1</v>
      </c>
      <c r="E138">
        <v>7</v>
      </c>
      <c r="F138">
        <v>0</v>
      </c>
      <c r="G138">
        <v>1</v>
      </c>
      <c r="H138">
        <v>12</v>
      </c>
    </row>
    <row r="139" spans="1:8" x14ac:dyDescent="0.4">
      <c r="A139">
        <v>0</v>
      </c>
      <c r="B139">
        <v>1</v>
      </c>
      <c r="C139">
        <v>7</v>
      </c>
      <c r="D139">
        <v>1</v>
      </c>
      <c r="E139">
        <v>0</v>
      </c>
      <c r="F139">
        <v>0</v>
      </c>
      <c r="G139">
        <v>1</v>
      </c>
      <c r="H139">
        <v>18</v>
      </c>
    </row>
    <row r="140" spans="1:8" x14ac:dyDescent="0.4">
      <c r="A140">
        <v>1</v>
      </c>
      <c r="B140">
        <v>0</v>
      </c>
      <c r="C140">
        <v>6.75</v>
      </c>
      <c r="D140">
        <v>1</v>
      </c>
      <c r="E140">
        <v>10</v>
      </c>
      <c r="F140">
        <v>0</v>
      </c>
      <c r="G140">
        <v>1</v>
      </c>
      <c r="H140">
        <v>18</v>
      </c>
    </row>
    <row r="141" spans="1:8" x14ac:dyDescent="0.4">
      <c r="A141">
        <v>1</v>
      </c>
      <c r="B141">
        <v>0</v>
      </c>
      <c r="C141">
        <v>7.25</v>
      </c>
      <c r="D141">
        <v>1</v>
      </c>
      <c r="E141">
        <v>0</v>
      </c>
      <c r="F141">
        <v>0</v>
      </c>
      <c r="G141">
        <v>1</v>
      </c>
      <c r="H141">
        <v>15</v>
      </c>
    </row>
    <row r="142" spans="1:8" x14ac:dyDescent="0.4">
      <c r="A142">
        <v>1</v>
      </c>
      <c r="B142">
        <v>2</v>
      </c>
      <c r="C142">
        <v>2.5</v>
      </c>
      <c r="D142">
        <v>2</v>
      </c>
      <c r="E142">
        <v>0</v>
      </c>
      <c r="F142">
        <v>0</v>
      </c>
      <c r="G142">
        <v>1</v>
      </c>
      <c r="H142">
        <v>17</v>
      </c>
    </row>
    <row r="143" spans="1:8" x14ac:dyDescent="0.4">
      <c r="A143">
        <v>1</v>
      </c>
      <c r="B143">
        <v>0</v>
      </c>
      <c r="C143">
        <v>0.5</v>
      </c>
      <c r="D143">
        <v>3</v>
      </c>
      <c r="E143">
        <v>4</v>
      </c>
      <c r="F143">
        <v>1</v>
      </c>
      <c r="G143">
        <v>1</v>
      </c>
      <c r="H143">
        <v>11</v>
      </c>
    </row>
    <row r="144" spans="1:8" x14ac:dyDescent="0.4">
      <c r="A144">
        <v>1</v>
      </c>
      <c r="B144">
        <v>0</v>
      </c>
      <c r="C144">
        <v>2.5</v>
      </c>
      <c r="D144">
        <v>1</v>
      </c>
      <c r="E144">
        <v>0</v>
      </c>
      <c r="F144">
        <v>0</v>
      </c>
      <c r="G144">
        <v>1</v>
      </c>
      <c r="H144">
        <v>14</v>
      </c>
    </row>
    <row r="145" spans="1:8" x14ac:dyDescent="0.4">
      <c r="A145">
        <v>1</v>
      </c>
      <c r="B145">
        <v>0</v>
      </c>
      <c r="C145">
        <v>4</v>
      </c>
      <c r="D145">
        <v>1</v>
      </c>
      <c r="E145">
        <v>16</v>
      </c>
      <c r="F145">
        <v>0</v>
      </c>
      <c r="G145">
        <v>1</v>
      </c>
      <c r="H145">
        <v>12</v>
      </c>
    </row>
    <row r="146" spans="1:8" x14ac:dyDescent="0.4">
      <c r="A146">
        <v>0</v>
      </c>
      <c r="B146">
        <v>0</v>
      </c>
      <c r="C146">
        <v>4.25</v>
      </c>
      <c r="D146">
        <v>1</v>
      </c>
      <c r="E146">
        <v>0</v>
      </c>
      <c r="F146">
        <v>0</v>
      </c>
      <c r="G146">
        <v>1</v>
      </c>
      <c r="H146">
        <v>14</v>
      </c>
    </row>
    <row r="147" spans="1:8" x14ac:dyDescent="0.4">
      <c r="A147">
        <v>1</v>
      </c>
      <c r="B147">
        <v>0</v>
      </c>
      <c r="C147">
        <v>1.5</v>
      </c>
      <c r="D147">
        <v>1</v>
      </c>
      <c r="E147">
        <v>0</v>
      </c>
      <c r="F147">
        <v>0</v>
      </c>
      <c r="G147">
        <v>1</v>
      </c>
      <c r="H147">
        <v>9</v>
      </c>
    </row>
    <row r="148" spans="1:8" x14ac:dyDescent="0.4">
      <c r="A148">
        <v>0</v>
      </c>
      <c r="B148">
        <v>0</v>
      </c>
      <c r="C148">
        <v>6</v>
      </c>
      <c r="D148">
        <v>2</v>
      </c>
      <c r="E148">
        <v>1</v>
      </c>
      <c r="F148">
        <v>0</v>
      </c>
      <c r="G148">
        <v>0</v>
      </c>
      <c r="H148">
        <v>6</v>
      </c>
    </row>
    <row r="149" spans="1:8" x14ac:dyDescent="0.4">
      <c r="A149">
        <v>1</v>
      </c>
      <c r="B149">
        <v>0</v>
      </c>
      <c r="C149">
        <v>9.25</v>
      </c>
      <c r="D149">
        <v>2</v>
      </c>
      <c r="E149">
        <v>2</v>
      </c>
      <c r="F149">
        <v>0</v>
      </c>
      <c r="G149">
        <v>1</v>
      </c>
      <c r="H149">
        <v>11</v>
      </c>
    </row>
    <row r="150" spans="1:8" x14ac:dyDescent="0.4">
      <c r="A150">
        <v>0</v>
      </c>
      <c r="B150">
        <v>0</v>
      </c>
      <c r="C150">
        <v>4.25</v>
      </c>
      <c r="D150">
        <v>3</v>
      </c>
      <c r="E150">
        <v>0</v>
      </c>
      <c r="F150">
        <v>0</v>
      </c>
      <c r="G150">
        <v>0</v>
      </c>
      <c r="H150">
        <v>10</v>
      </c>
    </row>
    <row r="151" spans="1:8" x14ac:dyDescent="0.4">
      <c r="A151">
        <v>0</v>
      </c>
      <c r="B151">
        <v>0</v>
      </c>
      <c r="C151">
        <v>3.75</v>
      </c>
      <c r="D151">
        <v>1</v>
      </c>
      <c r="E151">
        <v>0</v>
      </c>
      <c r="F151">
        <v>0</v>
      </c>
      <c r="G151">
        <v>1</v>
      </c>
      <c r="H151">
        <v>8</v>
      </c>
    </row>
    <row r="152" spans="1:8" x14ac:dyDescent="0.4">
      <c r="A152">
        <v>1</v>
      </c>
      <c r="B152">
        <v>0</v>
      </c>
      <c r="C152">
        <v>2.75</v>
      </c>
      <c r="D152">
        <v>1</v>
      </c>
      <c r="E152">
        <v>0</v>
      </c>
      <c r="F152">
        <v>1</v>
      </c>
      <c r="G152">
        <v>1</v>
      </c>
      <c r="H152">
        <v>12</v>
      </c>
    </row>
    <row r="153" spans="1:8" x14ac:dyDescent="0.4">
      <c r="A153">
        <v>1</v>
      </c>
      <c r="B153">
        <v>0</v>
      </c>
      <c r="C153">
        <v>0.25</v>
      </c>
      <c r="D153">
        <v>3</v>
      </c>
      <c r="E153">
        <v>2</v>
      </c>
      <c r="F153">
        <v>0</v>
      </c>
      <c r="G153">
        <v>1</v>
      </c>
      <c r="H153">
        <v>10</v>
      </c>
    </row>
    <row r="154" spans="1:8" x14ac:dyDescent="0.4">
      <c r="A154">
        <v>0</v>
      </c>
      <c r="B154">
        <v>0</v>
      </c>
      <c r="C154">
        <v>7.25</v>
      </c>
      <c r="D154">
        <v>2</v>
      </c>
      <c r="E154">
        <v>0</v>
      </c>
      <c r="F154">
        <v>1</v>
      </c>
      <c r="G154">
        <v>1</v>
      </c>
      <c r="H154">
        <v>14</v>
      </c>
    </row>
    <row r="155" spans="1:8" x14ac:dyDescent="0.4">
      <c r="A155">
        <v>0</v>
      </c>
      <c r="B155">
        <v>0</v>
      </c>
      <c r="C155">
        <v>4</v>
      </c>
      <c r="D155">
        <v>5</v>
      </c>
      <c r="E155">
        <v>4</v>
      </c>
      <c r="F155">
        <v>1</v>
      </c>
      <c r="G155">
        <v>1</v>
      </c>
      <c r="H155">
        <v>12</v>
      </c>
    </row>
    <row r="156" spans="1:8" x14ac:dyDescent="0.4">
      <c r="A156">
        <v>1</v>
      </c>
      <c r="B156">
        <v>0</v>
      </c>
      <c r="C156">
        <v>3</v>
      </c>
      <c r="D156">
        <v>1</v>
      </c>
      <c r="E156">
        <v>0</v>
      </c>
      <c r="F156">
        <v>0</v>
      </c>
      <c r="G156">
        <v>1</v>
      </c>
      <c r="H156">
        <v>10</v>
      </c>
    </row>
    <row r="157" spans="1:8" x14ac:dyDescent="0.4">
      <c r="A157">
        <v>1</v>
      </c>
      <c r="B157">
        <v>0</v>
      </c>
      <c r="C157">
        <v>12.75</v>
      </c>
      <c r="D157">
        <v>1</v>
      </c>
      <c r="E157">
        <v>2</v>
      </c>
      <c r="F157">
        <v>0</v>
      </c>
      <c r="G157">
        <v>1</v>
      </c>
      <c r="H157">
        <v>8</v>
      </c>
    </row>
    <row r="158" spans="1:8" x14ac:dyDescent="0.4">
      <c r="A158">
        <v>0</v>
      </c>
      <c r="B158">
        <v>0</v>
      </c>
      <c r="C158">
        <v>3.25</v>
      </c>
      <c r="D158">
        <v>2</v>
      </c>
      <c r="E158">
        <v>6</v>
      </c>
      <c r="F158">
        <v>0</v>
      </c>
      <c r="G158">
        <v>1</v>
      </c>
      <c r="H158">
        <v>10</v>
      </c>
    </row>
    <row r="159" spans="1:8" x14ac:dyDescent="0.4">
      <c r="A159">
        <v>1</v>
      </c>
      <c r="B159">
        <v>0</v>
      </c>
      <c r="C159">
        <v>2.5</v>
      </c>
      <c r="D159">
        <v>4</v>
      </c>
      <c r="E159">
        <v>0</v>
      </c>
      <c r="F159">
        <v>0</v>
      </c>
      <c r="G159">
        <v>1</v>
      </c>
      <c r="H159">
        <v>10</v>
      </c>
    </row>
    <row r="160" spans="1:8" x14ac:dyDescent="0.4">
      <c r="A160">
        <v>0</v>
      </c>
      <c r="B160">
        <v>0</v>
      </c>
      <c r="C160">
        <v>0.25</v>
      </c>
      <c r="D160">
        <v>2</v>
      </c>
      <c r="E160">
        <v>3</v>
      </c>
      <c r="F160">
        <v>0</v>
      </c>
      <c r="G160">
        <v>1</v>
      </c>
      <c r="H160">
        <v>15</v>
      </c>
    </row>
    <row r="161" spans="1:8" x14ac:dyDescent="0.4">
      <c r="A161">
        <v>1</v>
      </c>
      <c r="B161">
        <v>2</v>
      </c>
      <c r="C161">
        <v>3</v>
      </c>
      <c r="D161">
        <v>2</v>
      </c>
      <c r="E161">
        <v>3</v>
      </c>
      <c r="F161">
        <v>0</v>
      </c>
      <c r="G161">
        <v>0</v>
      </c>
      <c r="H161">
        <v>10</v>
      </c>
    </row>
    <row r="162" spans="1:8" x14ac:dyDescent="0.4">
      <c r="A162">
        <v>1</v>
      </c>
      <c r="B162">
        <v>0</v>
      </c>
      <c r="C162">
        <v>3.75</v>
      </c>
      <c r="D162">
        <v>1</v>
      </c>
      <c r="E162">
        <v>2</v>
      </c>
      <c r="F162">
        <v>0</v>
      </c>
      <c r="G162">
        <v>1</v>
      </c>
      <c r="H162">
        <v>15</v>
      </c>
    </row>
    <row r="163" spans="1:8" x14ac:dyDescent="0.4">
      <c r="A163">
        <v>1</v>
      </c>
      <c r="B163">
        <v>1</v>
      </c>
      <c r="C163">
        <v>3.75</v>
      </c>
      <c r="D163">
        <v>1</v>
      </c>
      <c r="E163">
        <v>3</v>
      </c>
      <c r="F163">
        <v>0</v>
      </c>
      <c r="G163">
        <v>1</v>
      </c>
      <c r="H163">
        <v>10</v>
      </c>
    </row>
    <row r="164" spans="1:8" x14ac:dyDescent="0.4">
      <c r="A164">
        <v>0</v>
      </c>
      <c r="B164">
        <v>1</v>
      </c>
      <c r="C164">
        <v>0.75</v>
      </c>
      <c r="D164">
        <v>1</v>
      </c>
      <c r="E164">
        <v>2</v>
      </c>
      <c r="F164">
        <v>0</v>
      </c>
      <c r="G164">
        <v>1</v>
      </c>
      <c r="H164">
        <v>13</v>
      </c>
    </row>
    <row r="165" spans="1:8" x14ac:dyDescent="0.4">
      <c r="A165">
        <v>1</v>
      </c>
      <c r="B165">
        <v>0</v>
      </c>
      <c r="C165">
        <v>4.5</v>
      </c>
      <c r="D165">
        <v>2</v>
      </c>
      <c r="E165">
        <v>0</v>
      </c>
      <c r="F165">
        <v>0</v>
      </c>
      <c r="G165">
        <v>1</v>
      </c>
      <c r="H165">
        <v>12</v>
      </c>
    </row>
    <row r="166" spans="1:8" x14ac:dyDescent="0.4">
      <c r="A166">
        <v>1</v>
      </c>
      <c r="B166">
        <v>0</v>
      </c>
      <c r="C166">
        <v>2.75</v>
      </c>
      <c r="D166">
        <v>1</v>
      </c>
      <c r="E166">
        <v>4</v>
      </c>
      <c r="F166">
        <v>0</v>
      </c>
      <c r="G166">
        <v>1</v>
      </c>
      <c r="H166">
        <v>12</v>
      </c>
    </row>
    <row r="167" spans="1:8" x14ac:dyDescent="0.4">
      <c r="A167">
        <v>0</v>
      </c>
      <c r="B167">
        <v>0</v>
      </c>
      <c r="C167">
        <v>6.5</v>
      </c>
      <c r="D167">
        <v>1</v>
      </c>
      <c r="E167">
        <v>2</v>
      </c>
      <c r="F167">
        <v>0</v>
      </c>
      <c r="G167">
        <v>1</v>
      </c>
      <c r="H167">
        <v>8</v>
      </c>
    </row>
    <row r="168" spans="1:8" x14ac:dyDescent="0.4">
      <c r="A168">
        <v>0</v>
      </c>
      <c r="B168">
        <v>0</v>
      </c>
      <c r="C168">
        <v>0.5</v>
      </c>
      <c r="D168">
        <v>4</v>
      </c>
      <c r="E168">
        <v>5</v>
      </c>
      <c r="F168">
        <v>0</v>
      </c>
      <c r="G168">
        <v>1</v>
      </c>
      <c r="H168">
        <v>11</v>
      </c>
    </row>
    <row r="169" spans="1:8" x14ac:dyDescent="0.4">
      <c r="A169">
        <v>1</v>
      </c>
      <c r="B169">
        <v>1</v>
      </c>
      <c r="C169">
        <v>8.5</v>
      </c>
      <c r="D169">
        <v>1</v>
      </c>
      <c r="E169">
        <v>6</v>
      </c>
      <c r="F169">
        <v>0</v>
      </c>
      <c r="G169">
        <v>1</v>
      </c>
      <c r="H169">
        <v>10</v>
      </c>
    </row>
    <row r="170" spans="1:8" x14ac:dyDescent="0.4">
      <c r="A170">
        <v>1</v>
      </c>
      <c r="B170">
        <v>0</v>
      </c>
      <c r="C170">
        <v>8.5</v>
      </c>
      <c r="D170">
        <v>1</v>
      </c>
      <c r="E170">
        <v>0</v>
      </c>
      <c r="F170">
        <v>0</v>
      </c>
      <c r="G170">
        <v>0</v>
      </c>
      <c r="H170">
        <v>9</v>
      </c>
    </row>
    <row r="171" spans="1:8" x14ac:dyDescent="0.4">
      <c r="A171">
        <v>0</v>
      </c>
      <c r="B171">
        <v>0</v>
      </c>
      <c r="C171">
        <v>3</v>
      </c>
      <c r="D171">
        <v>1</v>
      </c>
      <c r="E171">
        <v>8</v>
      </c>
      <c r="F171">
        <v>0</v>
      </c>
      <c r="G171">
        <v>1</v>
      </c>
      <c r="H171">
        <v>11</v>
      </c>
    </row>
    <row r="172" spans="1:8" x14ac:dyDescent="0.4">
      <c r="A172">
        <v>0</v>
      </c>
      <c r="B172">
        <v>0</v>
      </c>
      <c r="C172">
        <v>0</v>
      </c>
      <c r="D172">
        <v>1</v>
      </c>
      <c r="E172">
        <v>4</v>
      </c>
      <c r="F172">
        <v>0</v>
      </c>
      <c r="G172">
        <v>0</v>
      </c>
      <c r="H172">
        <v>11</v>
      </c>
    </row>
    <row r="173" spans="1:8" x14ac:dyDescent="0.4">
      <c r="A173">
        <v>0</v>
      </c>
      <c r="B173">
        <v>0</v>
      </c>
      <c r="C173">
        <v>0</v>
      </c>
      <c r="D173">
        <v>1</v>
      </c>
      <c r="E173">
        <v>2</v>
      </c>
      <c r="F173">
        <v>0</v>
      </c>
      <c r="G173">
        <v>1</v>
      </c>
      <c r="H173">
        <v>13</v>
      </c>
    </row>
    <row r="174" spans="1:8" x14ac:dyDescent="0.4">
      <c r="A174">
        <v>0</v>
      </c>
      <c r="B174">
        <v>0</v>
      </c>
      <c r="C174">
        <v>0.25</v>
      </c>
      <c r="D174">
        <v>3</v>
      </c>
      <c r="E174">
        <v>8</v>
      </c>
      <c r="F174">
        <v>1</v>
      </c>
      <c r="G174">
        <v>1</v>
      </c>
      <c r="H174">
        <v>11</v>
      </c>
    </row>
    <row r="175" spans="1:8" x14ac:dyDescent="0.4">
      <c r="A175">
        <v>1</v>
      </c>
      <c r="B175">
        <v>0</v>
      </c>
      <c r="C175">
        <v>0.75</v>
      </c>
      <c r="D175">
        <v>1</v>
      </c>
      <c r="E175">
        <v>0</v>
      </c>
      <c r="F175">
        <v>1</v>
      </c>
      <c r="G175">
        <v>1</v>
      </c>
      <c r="H175">
        <v>14</v>
      </c>
    </row>
    <row r="176" spans="1:8" x14ac:dyDescent="0.4">
      <c r="A176">
        <v>1</v>
      </c>
      <c r="B176">
        <v>0</v>
      </c>
      <c r="C176">
        <v>5.75</v>
      </c>
      <c r="D176">
        <v>1</v>
      </c>
      <c r="E176">
        <v>2</v>
      </c>
      <c r="F176">
        <v>0</v>
      </c>
      <c r="G176">
        <v>0</v>
      </c>
      <c r="H176">
        <v>11</v>
      </c>
    </row>
    <row r="177" spans="1:8" x14ac:dyDescent="0.4">
      <c r="A177">
        <v>1</v>
      </c>
      <c r="B177">
        <v>0</v>
      </c>
      <c r="C177">
        <v>2.5</v>
      </c>
      <c r="D177">
        <v>2</v>
      </c>
      <c r="E177">
        <v>0</v>
      </c>
      <c r="F177">
        <v>0</v>
      </c>
      <c r="G177">
        <v>1</v>
      </c>
      <c r="H177">
        <v>15</v>
      </c>
    </row>
    <row r="178" spans="1:8" x14ac:dyDescent="0.4">
      <c r="A178">
        <v>1</v>
      </c>
      <c r="B178">
        <v>0</v>
      </c>
      <c r="C178">
        <v>0.5</v>
      </c>
      <c r="D178">
        <v>2</v>
      </c>
      <c r="E178">
        <v>4</v>
      </c>
      <c r="F178">
        <v>1</v>
      </c>
      <c r="G178">
        <v>1</v>
      </c>
      <c r="H178">
        <v>11</v>
      </c>
    </row>
    <row r="179" spans="1:8" x14ac:dyDescent="0.4">
      <c r="A179">
        <v>1</v>
      </c>
      <c r="B179">
        <v>0</v>
      </c>
      <c r="C179">
        <v>0.5</v>
      </c>
      <c r="D179">
        <v>1</v>
      </c>
      <c r="E179">
        <v>0</v>
      </c>
      <c r="F179">
        <v>0</v>
      </c>
      <c r="G179">
        <v>1</v>
      </c>
      <c r="H179">
        <v>13</v>
      </c>
    </row>
    <row r="180" spans="1:8" x14ac:dyDescent="0.4">
      <c r="A180">
        <v>0</v>
      </c>
      <c r="B180">
        <v>0</v>
      </c>
      <c r="C180">
        <v>3.5</v>
      </c>
      <c r="D180">
        <v>1</v>
      </c>
      <c r="E180">
        <v>0</v>
      </c>
      <c r="F180">
        <v>0</v>
      </c>
      <c r="G180">
        <v>1</v>
      </c>
      <c r="H180">
        <v>11</v>
      </c>
    </row>
    <row r="181" spans="1:8" x14ac:dyDescent="0.4">
      <c r="A181">
        <v>0</v>
      </c>
      <c r="B181">
        <v>0</v>
      </c>
      <c r="C181">
        <v>2.25</v>
      </c>
      <c r="D181">
        <v>1</v>
      </c>
      <c r="E181">
        <v>0</v>
      </c>
      <c r="F181">
        <v>0</v>
      </c>
      <c r="G181">
        <v>1</v>
      </c>
      <c r="H181">
        <v>10</v>
      </c>
    </row>
    <row r="182" spans="1:8" x14ac:dyDescent="0.4">
      <c r="A182">
        <v>0</v>
      </c>
      <c r="B182">
        <v>0</v>
      </c>
      <c r="C182">
        <v>1.5</v>
      </c>
      <c r="D182">
        <v>3</v>
      </c>
      <c r="E182">
        <v>8</v>
      </c>
      <c r="F182">
        <v>0</v>
      </c>
      <c r="G182">
        <v>1</v>
      </c>
      <c r="H182">
        <v>18</v>
      </c>
    </row>
    <row r="183" spans="1:8" x14ac:dyDescent="0.4">
      <c r="A183">
        <v>0</v>
      </c>
      <c r="B183">
        <v>0</v>
      </c>
      <c r="C183">
        <v>11</v>
      </c>
      <c r="D183">
        <v>2</v>
      </c>
      <c r="E183">
        <v>10</v>
      </c>
      <c r="F183">
        <v>0</v>
      </c>
      <c r="G183">
        <v>1</v>
      </c>
      <c r="H183">
        <v>13</v>
      </c>
    </row>
    <row r="184" spans="1:8" x14ac:dyDescent="0.4">
      <c r="A184">
        <v>1</v>
      </c>
      <c r="B184">
        <v>1</v>
      </c>
      <c r="C184">
        <v>0.25</v>
      </c>
      <c r="D184">
        <v>2</v>
      </c>
      <c r="E184">
        <v>0</v>
      </c>
      <c r="F184">
        <v>1</v>
      </c>
      <c r="G184">
        <v>1</v>
      </c>
      <c r="H184">
        <v>11</v>
      </c>
    </row>
    <row r="185" spans="1:8" x14ac:dyDescent="0.4">
      <c r="A185">
        <v>0</v>
      </c>
      <c r="B185">
        <v>0</v>
      </c>
      <c r="C185">
        <v>4.25</v>
      </c>
      <c r="D185">
        <v>2</v>
      </c>
      <c r="E185">
        <v>10</v>
      </c>
      <c r="F185">
        <v>0</v>
      </c>
      <c r="G185">
        <v>1</v>
      </c>
      <c r="H185">
        <v>13</v>
      </c>
    </row>
    <row r="186" spans="1:8" x14ac:dyDescent="0.4">
      <c r="A186">
        <v>1</v>
      </c>
      <c r="B186">
        <v>0</v>
      </c>
      <c r="C186">
        <v>3.25</v>
      </c>
      <c r="D186">
        <v>1</v>
      </c>
      <c r="E186">
        <v>8</v>
      </c>
      <c r="F186">
        <v>0</v>
      </c>
      <c r="G186">
        <v>1</v>
      </c>
      <c r="H186">
        <v>15</v>
      </c>
    </row>
    <row r="187" spans="1:8" x14ac:dyDescent="0.4">
      <c r="A187">
        <v>1</v>
      </c>
      <c r="B187">
        <v>0</v>
      </c>
      <c r="C187">
        <v>2</v>
      </c>
      <c r="D187">
        <v>1</v>
      </c>
      <c r="E187">
        <v>4</v>
      </c>
      <c r="F187">
        <v>0</v>
      </c>
      <c r="G187">
        <v>1</v>
      </c>
      <c r="H187">
        <v>13</v>
      </c>
    </row>
    <row r="188" spans="1:8" x14ac:dyDescent="0.4">
      <c r="A188">
        <v>0</v>
      </c>
      <c r="B188">
        <v>0</v>
      </c>
      <c r="C188">
        <v>1.5</v>
      </c>
      <c r="D188">
        <v>1</v>
      </c>
      <c r="E188">
        <v>11</v>
      </c>
      <c r="F188">
        <v>0</v>
      </c>
      <c r="G188">
        <v>1</v>
      </c>
      <c r="H188">
        <v>7</v>
      </c>
    </row>
    <row r="189" spans="1:8" x14ac:dyDescent="0.4">
      <c r="A189">
        <v>1</v>
      </c>
      <c r="B189">
        <v>0</v>
      </c>
      <c r="C189">
        <v>5.5</v>
      </c>
      <c r="D189">
        <v>1</v>
      </c>
      <c r="E189">
        <v>2</v>
      </c>
      <c r="F189">
        <v>0</v>
      </c>
      <c r="G189">
        <v>1</v>
      </c>
      <c r="H189">
        <v>15</v>
      </c>
    </row>
    <row r="190" spans="1:8" x14ac:dyDescent="0.4">
      <c r="A190">
        <v>1</v>
      </c>
      <c r="B190">
        <v>0</v>
      </c>
      <c r="C190">
        <v>4.75</v>
      </c>
      <c r="D190">
        <v>1</v>
      </c>
      <c r="E190">
        <v>0</v>
      </c>
      <c r="F190">
        <v>0</v>
      </c>
      <c r="G190">
        <v>1</v>
      </c>
      <c r="H190">
        <v>14</v>
      </c>
    </row>
    <row r="191" spans="1:8" x14ac:dyDescent="0.4">
      <c r="A191">
        <v>0</v>
      </c>
      <c r="B191">
        <v>0</v>
      </c>
      <c r="C191">
        <v>0.5</v>
      </c>
      <c r="D191">
        <v>3</v>
      </c>
      <c r="E191">
        <v>2</v>
      </c>
      <c r="F191">
        <v>0</v>
      </c>
      <c r="G191">
        <v>1</v>
      </c>
      <c r="H191">
        <v>14</v>
      </c>
    </row>
    <row r="192" spans="1:8" x14ac:dyDescent="0.4">
      <c r="A192">
        <v>1</v>
      </c>
      <c r="B192">
        <v>0</v>
      </c>
      <c r="C192">
        <v>5.75</v>
      </c>
      <c r="D192">
        <v>4</v>
      </c>
      <c r="E192">
        <v>10</v>
      </c>
      <c r="F192">
        <v>0</v>
      </c>
      <c r="G192">
        <v>1</v>
      </c>
      <c r="H192">
        <v>12</v>
      </c>
    </row>
    <row r="193" spans="1:8" x14ac:dyDescent="0.4">
      <c r="A193">
        <v>0</v>
      </c>
      <c r="B193">
        <v>0</v>
      </c>
      <c r="C193">
        <v>3.75</v>
      </c>
      <c r="D193">
        <v>5</v>
      </c>
      <c r="E193">
        <v>0</v>
      </c>
      <c r="F193">
        <v>0</v>
      </c>
      <c r="G193">
        <v>1</v>
      </c>
      <c r="H193">
        <v>16</v>
      </c>
    </row>
    <row r="194" spans="1:8" x14ac:dyDescent="0.4">
      <c r="A194">
        <v>0</v>
      </c>
      <c r="B194">
        <v>0</v>
      </c>
      <c r="C194">
        <v>3.5</v>
      </c>
      <c r="D194">
        <v>1</v>
      </c>
      <c r="E194">
        <v>2</v>
      </c>
      <c r="F194">
        <v>0</v>
      </c>
      <c r="G194">
        <v>1</v>
      </c>
      <c r="H194">
        <v>18</v>
      </c>
    </row>
    <row r="195" spans="1:8" x14ac:dyDescent="0.4">
      <c r="A195">
        <v>1</v>
      </c>
      <c r="B195">
        <v>0</v>
      </c>
      <c r="C195">
        <v>9.75</v>
      </c>
      <c r="D195">
        <v>2</v>
      </c>
      <c r="E195">
        <v>0</v>
      </c>
      <c r="F195">
        <v>0</v>
      </c>
      <c r="G195">
        <v>1</v>
      </c>
      <c r="H195">
        <v>11</v>
      </c>
    </row>
    <row r="196" spans="1:8" x14ac:dyDescent="0.4">
      <c r="A196">
        <v>1</v>
      </c>
      <c r="B196">
        <v>3</v>
      </c>
      <c r="C196">
        <v>0.25</v>
      </c>
      <c r="D196">
        <v>2</v>
      </c>
      <c r="E196">
        <v>4</v>
      </c>
      <c r="F196">
        <v>0</v>
      </c>
      <c r="G196">
        <v>1</v>
      </c>
      <c r="H196">
        <v>16</v>
      </c>
    </row>
    <row r="197" spans="1:8" x14ac:dyDescent="0.4">
      <c r="A197">
        <v>1</v>
      </c>
      <c r="B197">
        <v>0</v>
      </c>
      <c r="C197">
        <v>1.5</v>
      </c>
      <c r="D197">
        <v>2</v>
      </c>
      <c r="E197">
        <v>0</v>
      </c>
      <c r="F197">
        <v>0</v>
      </c>
      <c r="G197">
        <v>1</v>
      </c>
      <c r="H197">
        <v>12</v>
      </c>
    </row>
    <row r="198" spans="1:8" x14ac:dyDescent="0.4">
      <c r="A198">
        <v>1</v>
      </c>
      <c r="B198">
        <v>0</v>
      </c>
      <c r="C198">
        <v>14.25</v>
      </c>
      <c r="D198">
        <v>1</v>
      </c>
      <c r="E198">
        <v>6</v>
      </c>
      <c r="F198">
        <v>0</v>
      </c>
      <c r="G198">
        <v>1</v>
      </c>
      <c r="H198">
        <v>13</v>
      </c>
    </row>
    <row r="199" spans="1:8" x14ac:dyDescent="0.4">
      <c r="A199">
        <v>1</v>
      </c>
      <c r="B199">
        <v>1</v>
      </c>
      <c r="C199">
        <v>0.25</v>
      </c>
      <c r="D199">
        <v>3</v>
      </c>
      <c r="E199">
        <v>0</v>
      </c>
      <c r="F199">
        <v>0</v>
      </c>
      <c r="G199">
        <v>1</v>
      </c>
      <c r="H199">
        <v>15</v>
      </c>
    </row>
    <row r="200" spans="1:8" x14ac:dyDescent="0.4">
      <c r="A200">
        <v>1</v>
      </c>
      <c r="B200">
        <v>0</v>
      </c>
      <c r="C200">
        <v>3</v>
      </c>
      <c r="D200">
        <v>2</v>
      </c>
      <c r="E200">
        <v>2</v>
      </c>
      <c r="F200">
        <v>0</v>
      </c>
      <c r="G200">
        <v>1</v>
      </c>
      <c r="H200">
        <v>12</v>
      </c>
    </row>
    <row r="201" spans="1:8" x14ac:dyDescent="0.4">
      <c r="A201">
        <v>1</v>
      </c>
      <c r="B201">
        <v>0</v>
      </c>
      <c r="C201">
        <v>0</v>
      </c>
      <c r="D201">
        <v>1</v>
      </c>
      <c r="E201">
        <v>8</v>
      </c>
      <c r="F201">
        <v>0</v>
      </c>
      <c r="G201">
        <v>1</v>
      </c>
      <c r="H201">
        <v>11</v>
      </c>
    </row>
    <row r="202" spans="1:8" x14ac:dyDescent="0.4">
      <c r="A202">
        <v>0</v>
      </c>
      <c r="B202">
        <v>0</v>
      </c>
      <c r="C202">
        <v>0.5</v>
      </c>
      <c r="D202">
        <v>2</v>
      </c>
      <c r="E202">
        <v>0</v>
      </c>
      <c r="F202">
        <v>0</v>
      </c>
      <c r="G202">
        <v>1</v>
      </c>
      <c r="H202">
        <v>15</v>
      </c>
    </row>
    <row r="203" spans="1:8" x14ac:dyDescent="0.4">
      <c r="A203">
        <v>0</v>
      </c>
      <c r="B203">
        <v>0</v>
      </c>
      <c r="C203">
        <v>8.75</v>
      </c>
      <c r="D203">
        <v>1</v>
      </c>
      <c r="E203">
        <v>0</v>
      </c>
      <c r="F203">
        <v>0</v>
      </c>
      <c r="G203">
        <v>0</v>
      </c>
      <c r="H203">
        <v>11</v>
      </c>
    </row>
    <row r="204" spans="1:8" x14ac:dyDescent="0.4">
      <c r="A204">
        <v>0</v>
      </c>
      <c r="B204">
        <v>0</v>
      </c>
      <c r="C204">
        <v>4</v>
      </c>
      <c r="D204">
        <v>1</v>
      </c>
      <c r="E204">
        <v>0</v>
      </c>
      <c r="F204">
        <v>0</v>
      </c>
      <c r="G204">
        <v>1</v>
      </c>
      <c r="H204">
        <v>10</v>
      </c>
    </row>
    <row r="205" spans="1:8" x14ac:dyDescent="0.4">
      <c r="A205">
        <v>0</v>
      </c>
      <c r="B205">
        <v>0</v>
      </c>
      <c r="C205">
        <v>3.25</v>
      </c>
      <c r="D205">
        <v>3</v>
      </c>
      <c r="E205">
        <v>16</v>
      </c>
      <c r="F205">
        <v>0</v>
      </c>
      <c r="G205">
        <v>1</v>
      </c>
      <c r="H205">
        <v>14</v>
      </c>
    </row>
    <row r="206" spans="1:8" x14ac:dyDescent="0.4">
      <c r="A206">
        <v>0</v>
      </c>
      <c r="B206">
        <v>0</v>
      </c>
      <c r="C206">
        <v>0.25</v>
      </c>
      <c r="D206">
        <v>1</v>
      </c>
      <c r="E206">
        <v>6</v>
      </c>
      <c r="F206">
        <v>0</v>
      </c>
      <c r="G206">
        <v>1</v>
      </c>
      <c r="H206">
        <v>8</v>
      </c>
    </row>
    <row r="207" spans="1:8" x14ac:dyDescent="0.4">
      <c r="A207">
        <v>0</v>
      </c>
      <c r="B207">
        <v>1</v>
      </c>
      <c r="C207">
        <v>1.75</v>
      </c>
      <c r="D207">
        <v>3</v>
      </c>
      <c r="E207">
        <v>4</v>
      </c>
      <c r="F207">
        <v>0</v>
      </c>
      <c r="G207">
        <v>1</v>
      </c>
      <c r="H207">
        <v>18</v>
      </c>
    </row>
    <row r="208" spans="1:8" x14ac:dyDescent="0.4">
      <c r="A208">
        <v>1</v>
      </c>
      <c r="B208">
        <v>0</v>
      </c>
      <c r="C208">
        <v>2.75</v>
      </c>
      <c r="D208">
        <v>3</v>
      </c>
      <c r="E208">
        <v>0</v>
      </c>
      <c r="F208">
        <v>0</v>
      </c>
      <c r="G208">
        <v>1</v>
      </c>
      <c r="H208">
        <v>15</v>
      </c>
    </row>
    <row r="209" spans="1:8" x14ac:dyDescent="0.4">
      <c r="A209">
        <v>1</v>
      </c>
      <c r="B209">
        <v>0</v>
      </c>
      <c r="C209">
        <v>7.5</v>
      </c>
      <c r="D209">
        <v>1</v>
      </c>
      <c r="E209">
        <v>6</v>
      </c>
      <c r="F209">
        <v>0</v>
      </c>
      <c r="G209">
        <v>0</v>
      </c>
      <c r="H209">
        <v>9</v>
      </c>
    </row>
    <row r="210" spans="1:8" x14ac:dyDescent="0.4">
      <c r="A210">
        <v>1</v>
      </c>
      <c r="B210">
        <v>0</v>
      </c>
      <c r="C210">
        <v>2.5</v>
      </c>
      <c r="D210">
        <v>2</v>
      </c>
      <c r="E210">
        <v>0</v>
      </c>
      <c r="F210">
        <v>1</v>
      </c>
      <c r="G210">
        <v>1</v>
      </c>
      <c r="H210">
        <v>13</v>
      </c>
    </row>
    <row r="211" spans="1:8" x14ac:dyDescent="0.4">
      <c r="A211">
        <v>1</v>
      </c>
      <c r="B211">
        <v>0</v>
      </c>
      <c r="C211">
        <v>2</v>
      </c>
      <c r="D211">
        <v>1</v>
      </c>
      <c r="E211">
        <v>2</v>
      </c>
      <c r="F211">
        <v>0</v>
      </c>
      <c r="G211">
        <v>1</v>
      </c>
      <c r="H211">
        <v>14</v>
      </c>
    </row>
    <row r="212" spans="1:8" x14ac:dyDescent="0.4">
      <c r="A212">
        <v>0</v>
      </c>
      <c r="B212">
        <v>0</v>
      </c>
      <c r="C212">
        <v>4.75</v>
      </c>
      <c r="D212">
        <v>3</v>
      </c>
      <c r="E212">
        <v>6</v>
      </c>
      <c r="F212">
        <v>0</v>
      </c>
      <c r="G212">
        <v>1</v>
      </c>
      <c r="H212">
        <v>12</v>
      </c>
    </row>
    <row r="213" spans="1:8" x14ac:dyDescent="0.4">
      <c r="A213">
        <v>1</v>
      </c>
      <c r="B213">
        <v>0</v>
      </c>
      <c r="C213">
        <v>1.5</v>
      </c>
      <c r="D213">
        <v>3</v>
      </c>
      <c r="E213">
        <v>6</v>
      </c>
      <c r="F213">
        <v>0</v>
      </c>
      <c r="G213">
        <v>1</v>
      </c>
      <c r="H213">
        <v>11</v>
      </c>
    </row>
    <row r="214" spans="1:8" x14ac:dyDescent="0.4">
      <c r="A214">
        <v>1</v>
      </c>
      <c r="B214">
        <v>0</v>
      </c>
      <c r="C214">
        <v>1</v>
      </c>
      <c r="D214">
        <v>1</v>
      </c>
      <c r="E214">
        <v>4</v>
      </c>
      <c r="F214">
        <v>0</v>
      </c>
      <c r="G214">
        <v>1</v>
      </c>
      <c r="H214">
        <v>10</v>
      </c>
    </row>
    <row r="215" spans="1:8" x14ac:dyDescent="0.4">
      <c r="A215">
        <v>1</v>
      </c>
      <c r="B215">
        <v>0</v>
      </c>
      <c r="C215">
        <v>11.5</v>
      </c>
      <c r="D215">
        <v>5</v>
      </c>
      <c r="E215">
        <v>0</v>
      </c>
      <c r="F215">
        <v>0</v>
      </c>
      <c r="G215">
        <v>1</v>
      </c>
      <c r="H215">
        <v>15</v>
      </c>
    </row>
    <row r="216" spans="1:8" x14ac:dyDescent="0.4">
      <c r="A216">
        <v>1</v>
      </c>
      <c r="B216">
        <v>0</v>
      </c>
      <c r="C216">
        <v>1.75</v>
      </c>
      <c r="D216">
        <v>5</v>
      </c>
      <c r="E216">
        <v>4</v>
      </c>
      <c r="F216">
        <v>0</v>
      </c>
      <c r="G216">
        <v>1</v>
      </c>
      <c r="H216">
        <v>13</v>
      </c>
    </row>
    <row r="217" spans="1:8" x14ac:dyDescent="0.4">
      <c r="A217">
        <v>0</v>
      </c>
      <c r="B217">
        <v>0</v>
      </c>
      <c r="C217">
        <v>6.75</v>
      </c>
      <c r="D217">
        <v>1</v>
      </c>
      <c r="E217">
        <v>12</v>
      </c>
      <c r="F217">
        <v>0</v>
      </c>
      <c r="G217">
        <v>0</v>
      </c>
      <c r="H217">
        <v>10</v>
      </c>
    </row>
    <row r="218" spans="1:8" x14ac:dyDescent="0.4">
      <c r="A218">
        <v>0</v>
      </c>
      <c r="B218">
        <v>0</v>
      </c>
      <c r="C218">
        <v>3.5</v>
      </c>
      <c r="D218">
        <v>1</v>
      </c>
      <c r="E218">
        <v>0</v>
      </c>
      <c r="F218">
        <v>0</v>
      </c>
      <c r="G218">
        <v>1</v>
      </c>
      <c r="H218">
        <v>13</v>
      </c>
    </row>
    <row r="219" spans="1:8" x14ac:dyDescent="0.4">
      <c r="A219">
        <v>1</v>
      </c>
      <c r="B219">
        <v>0</v>
      </c>
      <c r="C219">
        <v>0.75</v>
      </c>
      <c r="D219">
        <v>1</v>
      </c>
      <c r="E219">
        <v>4</v>
      </c>
      <c r="F219">
        <v>0</v>
      </c>
      <c r="G219">
        <v>1</v>
      </c>
      <c r="H219">
        <v>16</v>
      </c>
    </row>
    <row r="220" spans="1:8" x14ac:dyDescent="0.4">
      <c r="A220">
        <v>0</v>
      </c>
      <c r="B220">
        <v>0</v>
      </c>
      <c r="C220">
        <v>2</v>
      </c>
      <c r="D220">
        <v>1</v>
      </c>
      <c r="E220">
        <v>0</v>
      </c>
      <c r="F220">
        <v>0</v>
      </c>
      <c r="G220">
        <v>1</v>
      </c>
      <c r="H220">
        <v>11</v>
      </c>
    </row>
    <row r="221" spans="1:8" x14ac:dyDescent="0.4">
      <c r="A221">
        <v>0</v>
      </c>
      <c r="B221">
        <v>0</v>
      </c>
      <c r="C221">
        <v>4</v>
      </c>
      <c r="D221">
        <v>1</v>
      </c>
      <c r="E221">
        <v>0</v>
      </c>
      <c r="F221">
        <v>0</v>
      </c>
      <c r="G221">
        <v>1</v>
      </c>
      <c r="H221">
        <v>0</v>
      </c>
    </row>
    <row r="222" spans="1:8" x14ac:dyDescent="0.4">
      <c r="A222">
        <v>1</v>
      </c>
      <c r="B222">
        <v>0</v>
      </c>
      <c r="C222">
        <v>1.25</v>
      </c>
      <c r="D222">
        <v>2</v>
      </c>
      <c r="E222">
        <v>0</v>
      </c>
      <c r="F222">
        <v>0</v>
      </c>
      <c r="G222">
        <v>1</v>
      </c>
      <c r="H222">
        <v>10</v>
      </c>
    </row>
    <row r="223" spans="1:8" x14ac:dyDescent="0.4">
      <c r="A223">
        <v>1</v>
      </c>
      <c r="B223">
        <v>0</v>
      </c>
      <c r="C223">
        <v>1</v>
      </c>
      <c r="D223">
        <v>2</v>
      </c>
      <c r="E223">
        <v>2</v>
      </c>
      <c r="F223">
        <v>0</v>
      </c>
      <c r="G223">
        <v>0</v>
      </c>
      <c r="H223">
        <v>8</v>
      </c>
    </row>
    <row r="224" spans="1:8" x14ac:dyDescent="0.4">
      <c r="A224">
        <v>0</v>
      </c>
      <c r="B224">
        <v>0</v>
      </c>
      <c r="C224">
        <v>0</v>
      </c>
      <c r="D224">
        <v>2</v>
      </c>
      <c r="E224">
        <v>4</v>
      </c>
      <c r="F224">
        <v>0</v>
      </c>
      <c r="G224">
        <v>1</v>
      </c>
      <c r="H224">
        <v>17</v>
      </c>
    </row>
    <row r="225" spans="1:8" x14ac:dyDescent="0.4">
      <c r="A225">
        <v>0</v>
      </c>
      <c r="B225">
        <v>0</v>
      </c>
      <c r="C225">
        <v>4</v>
      </c>
      <c r="D225">
        <v>1</v>
      </c>
      <c r="E225">
        <v>0</v>
      </c>
      <c r="F225">
        <v>0</v>
      </c>
      <c r="G225">
        <v>1</v>
      </c>
      <c r="H225">
        <v>16</v>
      </c>
    </row>
    <row r="226" spans="1:8" x14ac:dyDescent="0.4">
      <c r="A226">
        <v>0</v>
      </c>
      <c r="B226">
        <v>0</v>
      </c>
      <c r="C226">
        <v>4.75</v>
      </c>
      <c r="D226">
        <v>3</v>
      </c>
      <c r="E226">
        <v>0</v>
      </c>
      <c r="F226">
        <v>0</v>
      </c>
      <c r="G226">
        <v>1</v>
      </c>
      <c r="H226">
        <v>11</v>
      </c>
    </row>
    <row r="227" spans="1:8" x14ac:dyDescent="0.4">
      <c r="A227">
        <v>1</v>
      </c>
      <c r="B227">
        <v>0</v>
      </c>
      <c r="C227">
        <v>1.25</v>
      </c>
      <c r="D227">
        <v>3</v>
      </c>
      <c r="E227">
        <v>0</v>
      </c>
      <c r="F227">
        <v>0</v>
      </c>
      <c r="G227">
        <v>1</v>
      </c>
      <c r="H227">
        <v>15</v>
      </c>
    </row>
    <row r="228" spans="1:8" x14ac:dyDescent="0.4">
      <c r="A228">
        <v>0</v>
      </c>
      <c r="B228">
        <v>1</v>
      </c>
      <c r="C228">
        <v>1.25</v>
      </c>
      <c r="D228">
        <v>4</v>
      </c>
      <c r="E228">
        <v>6</v>
      </c>
      <c r="F228">
        <v>0</v>
      </c>
      <c r="G228">
        <v>0</v>
      </c>
      <c r="H228">
        <v>8</v>
      </c>
    </row>
    <row r="229" spans="1:8" x14ac:dyDescent="0.4">
      <c r="A229">
        <v>0</v>
      </c>
      <c r="B229">
        <v>3</v>
      </c>
      <c r="C229">
        <v>0.25</v>
      </c>
      <c r="D229">
        <v>2</v>
      </c>
      <c r="E229">
        <v>2</v>
      </c>
      <c r="F229">
        <v>0</v>
      </c>
      <c r="G229">
        <v>1</v>
      </c>
      <c r="H229">
        <v>9</v>
      </c>
    </row>
    <row r="230" spans="1:8" x14ac:dyDescent="0.4">
      <c r="A230">
        <v>0</v>
      </c>
      <c r="B230">
        <v>1</v>
      </c>
      <c r="C230">
        <v>8.5</v>
      </c>
      <c r="D230">
        <v>1</v>
      </c>
      <c r="E230">
        <v>4</v>
      </c>
      <c r="F230">
        <v>0</v>
      </c>
      <c r="G230">
        <v>1</v>
      </c>
      <c r="H230">
        <v>13</v>
      </c>
    </row>
    <row r="231" spans="1:8" x14ac:dyDescent="0.4">
      <c r="A231">
        <v>0</v>
      </c>
      <c r="B231">
        <v>0</v>
      </c>
      <c r="C231">
        <v>0.75</v>
      </c>
      <c r="D231">
        <v>4</v>
      </c>
      <c r="E231">
        <v>0</v>
      </c>
      <c r="F231">
        <v>0</v>
      </c>
      <c r="G231">
        <v>1</v>
      </c>
      <c r="H231">
        <v>17</v>
      </c>
    </row>
    <row r="232" spans="1:8" x14ac:dyDescent="0.4">
      <c r="A232">
        <v>1</v>
      </c>
      <c r="B232">
        <v>0</v>
      </c>
      <c r="C232">
        <v>0.5</v>
      </c>
      <c r="D232">
        <v>1</v>
      </c>
      <c r="E232">
        <v>6</v>
      </c>
      <c r="F232">
        <v>0</v>
      </c>
      <c r="G232">
        <v>0</v>
      </c>
      <c r="H232">
        <v>13</v>
      </c>
    </row>
    <row r="233" spans="1:8" x14ac:dyDescent="0.4">
      <c r="A233">
        <v>0</v>
      </c>
      <c r="B233">
        <v>0</v>
      </c>
      <c r="C233">
        <v>3</v>
      </c>
      <c r="D233">
        <v>1</v>
      </c>
      <c r="E233">
        <v>16</v>
      </c>
      <c r="F233">
        <v>0</v>
      </c>
      <c r="G233">
        <v>1</v>
      </c>
      <c r="H233">
        <v>11</v>
      </c>
    </row>
    <row r="234" spans="1:8" x14ac:dyDescent="0.4">
      <c r="A234">
        <v>0</v>
      </c>
      <c r="B234">
        <v>0</v>
      </c>
      <c r="C234">
        <v>4.25</v>
      </c>
      <c r="D234">
        <v>1</v>
      </c>
      <c r="E234">
        <v>8</v>
      </c>
      <c r="F234">
        <v>0</v>
      </c>
      <c r="G234">
        <v>1</v>
      </c>
      <c r="H234">
        <v>12</v>
      </c>
    </row>
    <row r="235" spans="1:8" x14ac:dyDescent="0.4">
      <c r="A235">
        <v>0</v>
      </c>
      <c r="B235">
        <v>0</v>
      </c>
      <c r="C235">
        <v>8.25</v>
      </c>
      <c r="D235">
        <v>1</v>
      </c>
      <c r="E235">
        <v>0</v>
      </c>
      <c r="F235">
        <v>0</v>
      </c>
      <c r="G235">
        <v>1</v>
      </c>
      <c r="H235">
        <v>17</v>
      </c>
    </row>
    <row r="236" spans="1:8" x14ac:dyDescent="0.4">
      <c r="A236">
        <v>1</v>
      </c>
      <c r="B236">
        <v>0</v>
      </c>
      <c r="C236">
        <v>4.25</v>
      </c>
      <c r="D236">
        <v>1</v>
      </c>
      <c r="E236">
        <v>4</v>
      </c>
      <c r="F236">
        <v>0</v>
      </c>
      <c r="G236">
        <v>1</v>
      </c>
      <c r="H236">
        <v>9</v>
      </c>
    </row>
    <row r="237" spans="1:8" x14ac:dyDescent="0.4">
      <c r="A237">
        <v>0</v>
      </c>
      <c r="B237">
        <v>0</v>
      </c>
      <c r="C237">
        <v>0.75</v>
      </c>
      <c r="D237">
        <v>5</v>
      </c>
      <c r="E237">
        <v>8</v>
      </c>
      <c r="F237">
        <v>0</v>
      </c>
      <c r="G237">
        <v>1</v>
      </c>
      <c r="H237">
        <v>15</v>
      </c>
    </row>
    <row r="238" spans="1:8" x14ac:dyDescent="0.4">
      <c r="A238">
        <v>1</v>
      </c>
      <c r="B238">
        <v>0</v>
      </c>
      <c r="C238">
        <v>10.25</v>
      </c>
      <c r="D238">
        <v>1</v>
      </c>
      <c r="E238">
        <v>0</v>
      </c>
      <c r="F238">
        <v>0</v>
      </c>
      <c r="G238">
        <v>0</v>
      </c>
      <c r="H238">
        <v>8</v>
      </c>
    </row>
    <row r="239" spans="1:8" x14ac:dyDescent="0.4">
      <c r="A239">
        <v>1</v>
      </c>
      <c r="B239">
        <v>0</v>
      </c>
      <c r="C239">
        <v>10.75</v>
      </c>
      <c r="D239">
        <v>1</v>
      </c>
      <c r="E239">
        <v>4</v>
      </c>
      <c r="F239">
        <v>0</v>
      </c>
      <c r="G239">
        <v>1</v>
      </c>
      <c r="H239">
        <v>10</v>
      </c>
    </row>
    <row r="240" spans="1:8" x14ac:dyDescent="0.4">
      <c r="A240">
        <v>1</v>
      </c>
      <c r="B240">
        <v>0</v>
      </c>
      <c r="C240">
        <v>0.75</v>
      </c>
      <c r="D240">
        <v>1</v>
      </c>
      <c r="E240">
        <v>7</v>
      </c>
      <c r="F240">
        <v>0</v>
      </c>
      <c r="G240">
        <v>1</v>
      </c>
      <c r="H240">
        <v>15</v>
      </c>
    </row>
    <row r="241" spans="1:8" x14ac:dyDescent="0.4">
      <c r="A241">
        <v>0</v>
      </c>
      <c r="B241">
        <v>0</v>
      </c>
      <c r="C241">
        <v>7.75</v>
      </c>
      <c r="D241">
        <v>1</v>
      </c>
      <c r="E241">
        <v>4</v>
      </c>
      <c r="F241">
        <v>1</v>
      </c>
      <c r="G241">
        <v>1</v>
      </c>
      <c r="H241">
        <v>10</v>
      </c>
    </row>
    <row r="242" spans="1:8" x14ac:dyDescent="0.4">
      <c r="A242">
        <v>1</v>
      </c>
      <c r="B242">
        <v>0</v>
      </c>
      <c r="C242">
        <v>1</v>
      </c>
      <c r="D242">
        <v>2</v>
      </c>
      <c r="E242">
        <v>6</v>
      </c>
      <c r="F242">
        <v>0</v>
      </c>
      <c r="G242">
        <v>1</v>
      </c>
      <c r="H242">
        <v>11</v>
      </c>
    </row>
    <row r="243" spans="1:8" x14ac:dyDescent="0.4">
      <c r="A243">
        <v>1</v>
      </c>
      <c r="B243">
        <v>0</v>
      </c>
      <c r="C243">
        <v>2.75</v>
      </c>
      <c r="D243">
        <v>4</v>
      </c>
      <c r="E243">
        <v>2</v>
      </c>
      <c r="F243">
        <v>0</v>
      </c>
      <c r="G243">
        <v>1</v>
      </c>
      <c r="H243">
        <v>17</v>
      </c>
    </row>
    <row r="244" spans="1:8" x14ac:dyDescent="0.4">
      <c r="A244">
        <v>0</v>
      </c>
      <c r="B244">
        <v>0</v>
      </c>
      <c r="C244">
        <v>8</v>
      </c>
      <c r="D244">
        <v>2</v>
      </c>
      <c r="E244">
        <v>4</v>
      </c>
      <c r="F244">
        <v>0</v>
      </c>
      <c r="G244">
        <v>1</v>
      </c>
      <c r="H244">
        <v>10</v>
      </c>
    </row>
    <row r="245" spans="1:8" x14ac:dyDescent="0.4">
      <c r="A245">
        <v>1</v>
      </c>
      <c r="B245">
        <v>0</v>
      </c>
      <c r="C245">
        <v>2.5</v>
      </c>
      <c r="D245">
        <v>1</v>
      </c>
      <c r="E245">
        <v>0</v>
      </c>
      <c r="F245">
        <v>0</v>
      </c>
      <c r="G245">
        <v>1</v>
      </c>
      <c r="H245">
        <v>12</v>
      </c>
    </row>
    <row r="246" spans="1:8" x14ac:dyDescent="0.4">
      <c r="A246">
        <v>1</v>
      </c>
      <c r="B246">
        <v>0</v>
      </c>
      <c r="C246">
        <v>3.5</v>
      </c>
      <c r="D246">
        <v>1</v>
      </c>
      <c r="E246">
        <v>0</v>
      </c>
      <c r="F246">
        <v>0</v>
      </c>
      <c r="G246">
        <v>1</v>
      </c>
      <c r="H246">
        <v>12</v>
      </c>
    </row>
    <row r="247" spans="1:8" x14ac:dyDescent="0.4">
      <c r="A247">
        <v>1</v>
      </c>
      <c r="B247">
        <v>0</v>
      </c>
      <c r="C247">
        <v>4.25</v>
      </c>
      <c r="D247">
        <v>2</v>
      </c>
      <c r="E247">
        <v>6</v>
      </c>
      <c r="F247">
        <v>0</v>
      </c>
      <c r="G247">
        <v>1</v>
      </c>
      <c r="H247">
        <v>14</v>
      </c>
    </row>
    <row r="248" spans="1:8" x14ac:dyDescent="0.4">
      <c r="A248">
        <v>0</v>
      </c>
      <c r="B248">
        <v>0</v>
      </c>
      <c r="C248">
        <v>4</v>
      </c>
      <c r="D248">
        <v>1</v>
      </c>
      <c r="E248">
        <v>0</v>
      </c>
      <c r="F248">
        <v>0</v>
      </c>
      <c r="G248">
        <v>1</v>
      </c>
      <c r="H248">
        <v>11</v>
      </c>
    </row>
    <row r="249" spans="1:8" x14ac:dyDescent="0.4">
      <c r="A249">
        <v>1</v>
      </c>
      <c r="B249">
        <v>0</v>
      </c>
      <c r="C249">
        <v>1.75</v>
      </c>
      <c r="D249">
        <v>3</v>
      </c>
      <c r="E249">
        <v>6</v>
      </c>
      <c r="F249">
        <v>0</v>
      </c>
      <c r="G249">
        <v>1</v>
      </c>
      <c r="H249">
        <v>15</v>
      </c>
    </row>
    <row r="250" spans="1:8" x14ac:dyDescent="0.4">
      <c r="A250">
        <v>1</v>
      </c>
      <c r="B250">
        <v>0</v>
      </c>
      <c r="C250">
        <v>4.25</v>
      </c>
      <c r="D250">
        <v>1</v>
      </c>
      <c r="E250">
        <v>4</v>
      </c>
      <c r="F250">
        <v>0</v>
      </c>
      <c r="G250">
        <v>1</v>
      </c>
      <c r="H250">
        <v>15</v>
      </c>
    </row>
    <row r="251" spans="1:8" x14ac:dyDescent="0.4">
      <c r="A251">
        <v>1</v>
      </c>
      <c r="B251">
        <v>0</v>
      </c>
      <c r="C251">
        <v>3.75</v>
      </c>
      <c r="D251">
        <v>1</v>
      </c>
      <c r="E251">
        <v>0</v>
      </c>
      <c r="F251">
        <v>0</v>
      </c>
      <c r="G251">
        <v>1</v>
      </c>
      <c r="H251">
        <v>8</v>
      </c>
    </row>
    <row r="252" spans="1:8" x14ac:dyDescent="0.4">
      <c r="A252">
        <v>0</v>
      </c>
      <c r="B252">
        <v>0</v>
      </c>
      <c r="C252">
        <v>5.25</v>
      </c>
      <c r="D252">
        <v>1</v>
      </c>
      <c r="E252">
        <v>0</v>
      </c>
      <c r="F252">
        <v>1</v>
      </c>
      <c r="G252">
        <v>1</v>
      </c>
      <c r="H252">
        <v>11</v>
      </c>
    </row>
    <row r="253" spans="1:8" x14ac:dyDescent="0.4">
      <c r="A253">
        <v>1</v>
      </c>
      <c r="B253">
        <v>0</v>
      </c>
      <c r="C253">
        <v>4.75</v>
      </c>
      <c r="D253">
        <v>1</v>
      </c>
      <c r="E253">
        <v>0</v>
      </c>
      <c r="F253">
        <v>0</v>
      </c>
      <c r="G253">
        <v>0</v>
      </c>
      <c r="H253">
        <v>7</v>
      </c>
    </row>
    <row r="254" spans="1:8" x14ac:dyDescent="0.4">
      <c r="A254">
        <v>1</v>
      </c>
      <c r="B254">
        <v>0</v>
      </c>
      <c r="C254">
        <v>4</v>
      </c>
      <c r="D254">
        <v>2</v>
      </c>
      <c r="E254">
        <v>2</v>
      </c>
      <c r="F254">
        <v>0</v>
      </c>
      <c r="G254">
        <v>1</v>
      </c>
      <c r="H254">
        <v>14</v>
      </c>
    </row>
    <row r="255" spans="1:8" x14ac:dyDescent="0.4">
      <c r="A255">
        <v>1</v>
      </c>
      <c r="B255">
        <v>0</v>
      </c>
      <c r="C255">
        <v>1.75</v>
      </c>
      <c r="D255">
        <v>3</v>
      </c>
      <c r="E255">
        <v>2</v>
      </c>
      <c r="F255">
        <v>0</v>
      </c>
      <c r="G255">
        <v>1</v>
      </c>
      <c r="H255">
        <v>12</v>
      </c>
    </row>
    <row r="256" spans="1:8" x14ac:dyDescent="0.4">
      <c r="A256">
        <v>0</v>
      </c>
      <c r="B256">
        <v>0</v>
      </c>
      <c r="C256">
        <v>3.25</v>
      </c>
      <c r="D256">
        <v>1</v>
      </c>
      <c r="E256">
        <v>4</v>
      </c>
      <c r="F256">
        <v>0</v>
      </c>
      <c r="G256">
        <v>0</v>
      </c>
      <c r="H256">
        <v>7</v>
      </c>
    </row>
    <row r="257" spans="1:8" x14ac:dyDescent="0.4">
      <c r="A257">
        <v>1</v>
      </c>
      <c r="B257">
        <v>1</v>
      </c>
      <c r="C257">
        <v>1.5</v>
      </c>
      <c r="D257">
        <v>2</v>
      </c>
      <c r="E257">
        <v>8</v>
      </c>
      <c r="F257">
        <v>0</v>
      </c>
      <c r="G257">
        <v>1</v>
      </c>
      <c r="H257">
        <v>13</v>
      </c>
    </row>
    <row r="258" spans="1:8" x14ac:dyDescent="0.4">
      <c r="A258">
        <v>0</v>
      </c>
      <c r="B258">
        <v>0</v>
      </c>
      <c r="C258">
        <v>12</v>
      </c>
      <c r="D258">
        <v>1</v>
      </c>
      <c r="E258">
        <v>4</v>
      </c>
      <c r="F258">
        <v>0</v>
      </c>
      <c r="G258">
        <v>1</v>
      </c>
      <c r="H258">
        <v>16</v>
      </c>
    </row>
    <row r="259" spans="1:8" x14ac:dyDescent="0.4">
      <c r="A259">
        <v>0</v>
      </c>
      <c r="B259">
        <v>0</v>
      </c>
      <c r="C259">
        <v>1.75</v>
      </c>
      <c r="D259">
        <v>4</v>
      </c>
      <c r="E259">
        <v>0</v>
      </c>
      <c r="F259">
        <v>1</v>
      </c>
      <c r="G259">
        <v>1</v>
      </c>
      <c r="H259">
        <v>8</v>
      </c>
    </row>
    <row r="260" spans="1:8" x14ac:dyDescent="0.4">
      <c r="A260">
        <v>0</v>
      </c>
      <c r="B260">
        <v>0</v>
      </c>
      <c r="C260">
        <v>4.75</v>
      </c>
      <c r="D260">
        <v>1</v>
      </c>
      <c r="E260">
        <v>0</v>
      </c>
      <c r="F260">
        <v>0</v>
      </c>
      <c r="G260">
        <v>1</v>
      </c>
      <c r="H260">
        <v>15</v>
      </c>
    </row>
    <row r="261" spans="1:8" x14ac:dyDescent="0.4">
      <c r="A261">
        <v>1</v>
      </c>
      <c r="B261">
        <v>0</v>
      </c>
      <c r="C261">
        <v>1.75</v>
      </c>
      <c r="D261">
        <v>1</v>
      </c>
      <c r="E261">
        <v>4</v>
      </c>
      <c r="F261">
        <v>0</v>
      </c>
      <c r="G261">
        <v>1</v>
      </c>
      <c r="H261">
        <v>13</v>
      </c>
    </row>
    <row r="262" spans="1:8" x14ac:dyDescent="0.4">
      <c r="A262">
        <v>1</v>
      </c>
      <c r="B262">
        <v>0</v>
      </c>
      <c r="C262">
        <v>4</v>
      </c>
      <c r="D262">
        <v>1</v>
      </c>
      <c r="E262">
        <v>0</v>
      </c>
      <c r="F262">
        <v>0</v>
      </c>
      <c r="G262">
        <v>1</v>
      </c>
      <c r="H262">
        <v>14</v>
      </c>
    </row>
    <row r="263" spans="1:8" x14ac:dyDescent="0.4">
      <c r="A263">
        <v>0</v>
      </c>
      <c r="B263">
        <v>0</v>
      </c>
      <c r="C263">
        <v>6.5</v>
      </c>
      <c r="D263">
        <v>1</v>
      </c>
      <c r="E263">
        <v>2</v>
      </c>
      <c r="F263">
        <v>0</v>
      </c>
      <c r="G263">
        <v>1</v>
      </c>
      <c r="H263">
        <v>15</v>
      </c>
    </row>
    <row r="264" spans="1:8" x14ac:dyDescent="0.4">
      <c r="A264">
        <v>0</v>
      </c>
      <c r="B264">
        <v>0</v>
      </c>
      <c r="C264">
        <v>2.5</v>
      </c>
      <c r="D264">
        <v>1</v>
      </c>
      <c r="E264">
        <v>2</v>
      </c>
      <c r="F264">
        <v>0</v>
      </c>
      <c r="G264">
        <v>0</v>
      </c>
      <c r="H264">
        <v>11</v>
      </c>
    </row>
    <row r="265" spans="1:8" x14ac:dyDescent="0.4">
      <c r="A265">
        <v>1</v>
      </c>
      <c r="B265">
        <v>0</v>
      </c>
      <c r="C265">
        <v>4.75</v>
      </c>
      <c r="D265">
        <v>1</v>
      </c>
      <c r="E265">
        <v>0</v>
      </c>
      <c r="F265">
        <v>0</v>
      </c>
      <c r="G265">
        <v>1</v>
      </c>
      <c r="H265">
        <v>13</v>
      </c>
    </row>
    <row r="266" spans="1:8" x14ac:dyDescent="0.4">
      <c r="A266">
        <v>0</v>
      </c>
      <c r="B266">
        <v>1</v>
      </c>
      <c r="C266">
        <v>0.5</v>
      </c>
      <c r="D266">
        <v>2</v>
      </c>
      <c r="E266">
        <v>26</v>
      </c>
      <c r="F266">
        <v>1</v>
      </c>
      <c r="G266">
        <v>1</v>
      </c>
      <c r="H266">
        <v>11</v>
      </c>
    </row>
    <row r="267" spans="1:8" x14ac:dyDescent="0.4">
      <c r="A267">
        <v>1</v>
      </c>
      <c r="B267">
        <v>0</v>
      </c>
      <c r="C267">
        <v>2.5</v>
      </c>
      <c r="D267">
        <v>2</v>
      </c>
      <c r="E267">
        <v>8</v>
      </c>
      <c r="F267">
        <v>0</v>
      </c>
      <c r="G267">
        <v>1</v>
      </c>
      <c r="H267">
        <v>12</v>
      </c>
    </row>
    <row r="268" spans="1:8" x14ac:dyDescent="0.4">
      <c r="A268">
        <v>1</v>
      </c>
      <c r="B268">
        <v>0</v>
      </c>
      <c r="C268">
        <v>0</v>
      </c>
      <c r="D268">
        <v>1</v>
      </c>
      <c r="E268">
        <v>0</v>
      </c>
      <c r="F268">
        <v>0</v>
      </c>
      <c r="G268">
        <v>1</v>
      </c>
      <c r="H268">
        <v>16</v>
      </c>
    </row>
    <row r="269" spans="1:8" x14ac:dyDescent="0.4">
      <c r="A269">
        <v>0</v>
      </c>
      <c r="B269">
        <v>0</v>
      </c>
      <c r="C269">
        <v>3.5</v>
      </c>
      <c r="D269">
        <v>1</v>
      </c>
      <c r="E269">
        <v>6</v>
      </c>
      <c r="F269">
        <v>0</v>
      </c>
      <c r="G269">
        <v>1</v>
      </c>
      <c r="H269">
        <v>13</v>
      </c>
    </row>
    <row r="270" spans="1:8" x14ac:dyDescent="0.4">
      <c r="A270">
        <v>0</v>
      </c>
      <c r="B270">
        <v>3</v>
      </c>
      <c r="C270">
        <v>3.5</v>
      </c>
      <c r="D270">
        <v>2</v>
      </c>
      <c r="E270">
        <v>10</v>
      </c>
      <c r="F270">
        <v>0</v>
      </c>
      <c r="G270">
        <v>1</v>
      </c>
      <c r="H270">
        <v>9</v>
      </c>
    </row>
    <row r="271" spans="1:8" x14ac:dyDescent="0.4">
      <c r="A271">
        <v>1</v>
      </c>
      <c r="B271">
        <v>1</v>
      </c>
      <c r="C271">
        <v>0</v>
      </c>
      <c r="D271">
        <v>1</v>
      </c>
      <c r="E271">
        <v>0</v>
      </c>
      <c r="F271">
        <v>0</v>
      </c>
      <c r="G271">
        <v>0</v>
      </c>
      <c r="H271">
        <v>8</v>
      </c>
    </row>
    <row r="272" spans="1:8" x14ac:dyDescent="0.4">
      <c r="A272">
        <v>0</v>
      </c>
      <c r="B272">
        <v>0</v>
      </c>
      <c r="C272">
        <v>6.75</v>
      </c>
      <c r="D272">
        <v>2</v>
      </c>
      <c r="E272">
        <v>4</v>
      </c>
      <c r="F272">
        <v>1</v>
      </c>
      <c r="G272">
        <v>1</v>
      </c>
      <c r="H272">
        <v>13</v>
      </c>
    </row>
    <row r="273" spans="1:8" x14ac:dyDescent="0.4">
      <c r="A273">
        <v>1</v>
      </c>
      <c r="B273">
        <v>0</v>
      </c>
      <c r="C273">
        <v>4.75</v>
      </c>
      <c r="D273">
        <v>1</v>
      </c>
      <c r="E273">
        <v>1</v>
      </c>
      <c r="F273">
        <v>0</v>
      </c>
      <c r="G273">
        <v>1</v>
      </c>
      <c r="H273">
        <v>11</v>
      </c>
    </row>
    <row r="274" spans="1:8" x14ac:dyDescent="0.4">
      <c r="A274">
        <v>0</v>
      </c>
      <c r="B274">
        <v>0</v>
      </c>
      <c r="C274">
        <v>13.25</v>
      </c>
      <c r="D274">
        <v>1</v>
      </c>
      <c r="E274">
        <v>2</v>
      </c>
      <c r="F274">
        <v>0</v>
      </c>
      <c r="G274">
        <v>1</v>
      </c>
      <c r="H274">
        <v>8</v>
      </c>
    </row>
    <row r="275" spans="1:8" x14ac:dyDescent="0.4">
      <c r="A275">
        <v>1</v>
      </c>
      <c r="B275">
        <v>0</v>
      </c>
      <c r="C275">
        <v>13.25</v>
      </c>
      <c r="D275">
        <v>3</v>
      </c>
      <c r="E275">
        <v>0</v>
      </c>
      <c r="F275">
        <v>0</v>
      </c>
      <c r="G275">
        <v>1</v>
      </c>
      <c r="H275">
        <v>11</v>
      </c>
    </row>
    <row r="276" spans="1:8" x14ac:dyDescent="0.4">
      <c r="A276">
        <v>0</v>
      </c>
      <c r="B276">
        <v>0</v>
      </c>
      <c r="C276">
        <v>0.5</v>
      </c>
      <c r="D276">
        <v>4</v>
      </c>
      <c r="E276">
        <v>16</v>
      </c>
      <c r="F276">
        <v>1</v>
      </c>
      <c r="G276">
        <v>1</v>
      </c>
      <c r="H276">
        <v>10</v>
      </c>
    </row>
    <row r="277" spans="1:8" x14ac:dyDescent="0.4">
      <c r="A277">
        <v>1</v>
      </c>
      <c r="B277">
        <v>0</v>
      </c>
      <c r="C277">
        <v>4.75</v>
      </c>
      <c r="D277">
        <v>3</v>
      </c>
      <c r="E277">
        <v>1</v>
      </c>
      <c r="F277">
        <v>0</v>
      </c>
      <c r="G277">
        <v>1</v>
      </c>
      <c r="H277">
        <v>14</v>
      </c>
    </row>
    <row r="278" spans="1:8" x14ac:dyDescent="0.4">
      <c r="A278">
        <v>0</v>
      </c>
      <c r="B278">
        <v>0</v>
      </c>
      <c r="C278">
        <v>0</v>
      </c>
      <c r="D278">
        <v>2</v>
      </c>
      <c r="E278">
        <v>0</v>
      </c>
      <c r="F278">
        <v>0</v>
      </c>
      <c r="G278">
        <v>1</v>
      </c>
      <c r="H278">
        <v>16</v>
      </c>
    </row>
    <row r="279" spans="1:8" x14ac:dyDescent="0.4">
      <c r="A279">
        <v>0</v>
      </c>
      <c r="B279">
        <v>0</v>
      </c>
      <c r="C279">
        <v>4.5</v>
      </c>
      <c r="D279">
        <v>2</v>
      </c>
      <c r="E279">
        <v>2</v>
      </c>
      <c r="F279">
        <v>0</v>
      </c>
      <c r="G279">
        <v>0</v>
      </c>
      <c r="H279">
        <v>9</v>
      </c>
    </row>
    <row r="280" spans="1:8" x14ac:dyDescent="0.4">
      <c r="A280">
        <v>0</v>
      </c>
      <c r="B280">
        <v>1</v>
      </c>
      <c r="C280">
        <v>3.75</v>
      </c>
      <c r="D280">
        <v>2</v>
      </c>
      <c r="E280">
        <v>9</v>
      </c>
      <c r="F280">
        <v>0</v>
      </c>
      <c r="G280">
        <v>0</v>
      </c>
      <c r="H280">
        <v>10</v>
      </c>
    </row>
    <row r="281" spans="1:8" x14ac:dyDescent="0.4">
      <c r="A281">
        <v>1</v>
      </c>
      <c r="B281">
        <v>1</v>
      </c>
      <c r="C281">
        <v>0.25</v>
      </c>
      <c r="D281">
        <v>5</v>
      </c>
      <c r="E281">
        <v>12</v>
      </c>
      <c r="F281">
        <v>0</v>
      </c>
      <c r="G281">
        <v>1</v>
      </c>
      <c r="H281">
        <v>14</v>
      </c>
    </row>
    <row r="282" spans="1:8" x14ac:dyDescent="0.4">
      <c r="A282">
        <v>1</v>
      </c>
      <c r="B282">
        <v>0</v>
      </c>
      <c r="C282">
        <v>13</v>
      </c>
      <c r="D282">
        <v>2</v>
      </c>
      <c r="E282">
        <v>8</v>
      </c>
      <c r="F282">
        <v>0</v>
      </c>
      <c r="G282">
        <v>1</v>
      </c>
      <c r="H282">
        <v>16</v>
      </c>
    </row>
    <row r="283" spans="1:8" x14ac:dyDescent="0.4">
      <c r="A283">
        <v>0</v>
      </c>
      <c r="B283">
        <v>0</v>
      </c>
      <c r="C283">
        <v>3</v>
      </c>
      <c r="D283">
        <v>1</v>
      </c>
      <c r="E283">
        <v>0</v>
      </c>
      <c r="F283">
        <v>0</v>
      </c>
      <c r="G283">
        <v>1</v>
      </c>
      <c r="H283">
        <v>16</v>
      </c>
    </row>
    <row r="284" spans="1:8" x14ac:dyDescent="0.4">
      <c r="A284">
        <v>0</v>
      </c>
      <c r="B284">
        <v>0</v>
      </c>
      <c r="C284">
        <v>3</v>
      </c>
      <c r="D284">
        <v>1</v>
      </c>
      <c r="E284">
        <v>0</v>
      </c>
      <c r="F284">
        <v>0</v>
      </c>
      <c r="G284">
        <v>1</v>
      </c>
      <c r="H284">
        <v>8</v>
      </c>
    </row>
    <row r="285" spans="1:8" x14ac:dyDescent="0.4">
      <c r="A285">
        <v>0</v>
      </c>
      <c r="B285">
        <v>0</v>
      </c>
      <c r="C285">
        <v>4</v>
      </c>
      <c r="D285">
        <v>2</v>
      </c>
      <c r="E285">
        <v>2</v>
      </c>
      <c r="F285">
        <v>0</v>
      </c>
      <c r="G285">
        <v>1</v>
      </c>
      <c r="H285">
        <v>11</v>
      </c>
    </row>
    <row r="286" spans="1:8" x14ac:dyDescent="0.4">
      <c r="A286">
        <v>0</v>
      </c>
      <c r="B286">
        <v>0</v>
      </c>
      <c r="C286">
        <v>1.25</v>
      </c>
      <c r="D286">
        <v>1</v>
      </c>
      <c r="E286">
        <v>4</v>
      </c>
      <c r="F286">
        <v>0</v>
      </c>
      <c r="G286">
        <v>1</v>
      </c>
      <c r="H286">
        <v>14</v>
      </c>
    </row>
    <row r="287" spans="1:8" x14ac:dyDescent="0.4">
      <c r="A287">
        <v>0</v>
      </c>
      <c r="B287">
        <v>0</v>
      </c>
      <c r="C287">
        <v>2</v>
      </c>
      <c r="D287">
        <v>1</v>
      </c>
      <c r="E287">
        <v>4</v>
      </c>
      <c r="F287">
        <v>0</v>
      </c>
      <c r="G287">
        <v>1</v>
      </c>
      <c r="H287">
        <v>10</v>
      </c>
    </row>
    <row r="288" spans="1:8" x14ac:dyDescent="0.4">
      <c r="A288">
        <v>1</v>
      </c>
      <c r="B288">
        <v>0</v>
      </c>
      <c r="C288">
        <v>4</v>
      </c>
      <c r="D288">
        <v>4</v>
      </c>
      <c r="E288">
        <v>16</v>
      </c>
      <c r="F288">
        <v>0</v>
      </c>
      <c r="G288">
        <v>0</v>
      </c>
      <c r="H288">
        <v>11</v>
      </c>
    </row>
    <row r="289" spans="1:8" x14ac:dyDescent="0.4">
      <c r="A289">
        <v>0</v>
      </c>
      <c r="B289">
        <v>0</v>
      </c>
      <c r="C289">
        <v>3</v>
      </c>
      <c r="D289">
        <v>1</v>
      </c>
      <c r="E289">
        <v>0</v>
      </c>
      <c r="F289">
        <v>0</v>
      </c>
      <c r="G289">
        <v>1</v>
      </c>
      <c r="H289">
        <v>11</v>
      </c>
    </row>
    <row r="290" spans="1:8" x14ac:dyDescent="0.4">
      <c r="A290">
        <v>0</v>
      </c>
      <c r="B290">
        <v>3</v>
      </c>
      <c r="C290">
        <v>1.75</v>
      </c>
      <c r="D290">
        <v>1</v>
      </c>
      <c r="E290">
        <v>10</v>
      </c>
      <c r="F290">
        <v>0</v>
      </c>
      <c r="G290">
        <v>1</v>
      </c>
      <c r="H290">
        <v>14</v>
      </c>
    </row>
    <row r="291" spans="1:8" x14ac:dyDescent="0.4">
      <c r="A291">
        <v>1</v>
      </c>
      <c r="B291">
        <v>0</v>
      </c>
      <c r="C291">
        <v>0.5</v>
      </c>
      <c r="D291">
        <v>4</v>
      </c>
      <c r="E291">
        <v>2</v>
      </c>
      <c r="F291">
        <v>0</v>
      </c>
      <c r="G291">
        <v>1</v>
      </c>
      <c r="H291">
        <v>14</v>
      </c>
    </row>
    <row r="292" spans="1:8" x14ac:dyDescent="0.4">
      <c r="A292">
        <v>1</v>
      </c>
      <c r="B292">
        <v>1</v>
      </c>
      <c r="C292">
        <v>5</v>
      </c>
      <c r="D292">
        <v>1</v>
      </c>
      <c r="E292">
        <v>0</v>
      </c>
      <c r="F292">
        <v>1</v>
      </c>
      <c r="G292">
        <v>1</v>
      </c>
      <c r="H292">
        <v>13</v>
      </c>
    </row>
    <row r="293" spans="1:8" x14ac:dyDescent="0.4">
      <c r="A293">
        <v>1</v>
      </c>
      <c r="B293">
        <v>0</v>
      </c>
      <c r="C293">
        <v>9.25</v>
      </c>
      <c r="D293">
        <v>1</v>
      </c>
      <c r="E293">
        <v>4</v>
      </c>
      <c r="F293">
        <v>0</v>
      </c>
      <c r="G293">
        <v>1</v>
      </c>
      <c r="H293">
        <v>12</v>
      </c>
    </row>
    <row r="294" spans="1:8" x14ac:dyDescent="0.4">
      <c r="A294">
        <v>0</v>
      </c>
      <c r="B294">
        <v>0</v>
      </c>
      <c r="C294">
        <v>8.25</v>
      </c>
      <c r="D294">
        <v>1</v>
      </c>
      <c r="E294">
        <v>10</v>
      </c>
      <c r="F294">
        <v>1</v>
      </c>
      <c r="G294">
        <v>1</v>
      </c>
      <c r="H294">
        <v>10</v>
      </c>
    </row>
    <row r="295" spans="1:8" x14ac:dyDescent="0.4">
      <c r="A295">
        <v>0</v>
      </c>
      <c r="B295">
        <v>0</v>
      </c>
      <c r="C295">
        <v>4.25</v>
      </c>
      <c r="D295">
        <v>1</v>
      </c>
      <c r="E295">
        <v>2</v>
      </c>
      <c r="F295">
        <v>0</v>
      </c>
      <c r="G295">
        <v>1</v>
      </c>
      <c r="H295">
        <v>14</v>
      </c>
    </row>
    <row r="296" spans="1:8" x14ac:dyDescent="0.4">
      <c r="A296">
        <v>0</v>
      </c>
      <c r="B296">
        <v>0</v>
      </c>
      <c r="C296">
        <v>1</v>
      </c>
      <c r="D296">
        <v>1</v>
      </c>
      <c r="E296">
        <v>2</v>
      </c>
      <c r="F296">
        <v>0</v>
      </c>
      <c r="G296">
        <v>1</v>
      </c>
      <c r="H296">
        <v>12</v>
      </c>
    </row>
    <row r="297" spans="1:8" x14ac:dyDescent="0.4">
      <c r="A297">
        <v>1</v>
      </c>
      <c r="B297">
        <v>0</v>
      </c>
      <c r="C297">
        <v>0</v>
      </c>
      <c r="D297">
        <v>1</v>
      </c>
      <c r="E297">
        <v>5</v>
      </c>
      <c r="F297">
        <v>0</v>
      </c>
      <c r="G297">
        <v>1</v>
      </c>
      <c r="H297">
        <v>11</v>
      </c>
    </row>
    <row r="298" spans="1:8" x14ac:dyDescent="0.4">
      <c r="A298">
        <v>0</v>
      </c>
      <c r="B298">
        <v>0</v>
      </c>
      <c r="C298">
        <v>4.25</v>
      </c>
      <c r="D298">
        <v>1</v>
      </c>
      <c r="E298">
        <v>2</v>
      </c>
      <c r="F298">
        <v>0</v>
      </c>
      <c r="G298">
        <v>1</v>
      </c>
      <c r="H298">
        <v>12</v>
      </c>
    </row>
    <row r="299" spans="1:8" x14ac:dyDescent="0.4">
      <c r="A299">
        <v>0</v>
      </c>
      <c r="B299">
        <v>0</v>
      </c>
      <c r="C299">
        <v>3.75</v>
      </c>
      <c r="D299">
        <v>2</v>
      </c>
      <c r="E299">
        <v>8</v>
      </c>
      <c r="F299">
        <v>0</v>
      </c>
      <c r="G299">
        <v>1</v>
      </c>
      <c r="H299">
        <v>11</v>
      </c>
    </row>
    <row r="300" spans="1:8" x14ac:dyDescent="0.4">
      <c r="A300">
        <v>0</v>
      </c>
      <c r="B300">
        <v>0</v>
      </c>
      <c r="C300">
        <v>1.75</v>
      </c>
      <c r="D300">
        <v>3</v>
      </c>
      <c r="E300">
        <v>11</v>
      </c>
      <c r="F300">
        <v>0</v>
      </c>
      <c r="G300">
        <v>1</v>
      </c>
      <c r="H300">
        <v>0</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9910C-2993-6B4B-92CF-00F1A4C99282}">
  <dimension ref="A1:I324"/>
  <sheetViews>
    <sheetView zoomScale="68" workbookViewId="0">
      <selection activeCell="O40" sqref="O40"/>
    </sheetView>
  </sheetViews>
  <sheetFormatPr defaultColWidth="10.6640625" defaultRowHeight="16" x14ac:dyDescent="0.4"/>
  <sheetData>
    <row r="1" spans="1:9" x14ac:dyDescent="0.4">
      <c r="A1" t="s">
        <v>736</v>
      </c>
    </row>
    <row r="2" spans="1:9" ht="16.5" thickBot="1" x14ac:dyDescent="0.45"/>
    <row r="3" spans="1:9" x14ac:dyDescent="0.4">
      <c r="A3" s="5" t="s">
        <v>737</v>
      </c>
      <c r="B3" s="5"/>
    </row>
    <row r="4" spans="1:9" x14ac:dyDescent="0.4">
      <c r="A4" t="s">
        <v>738</v>
      </c>
      <c r="B4">
        <v>0.30404869688501263</v>
      </c>
    </row>
    <row r="5" spans="1:9" x14ac:dyDescent="0.4">
      <c r="A5" t="s">
        <v>739</v>
      </c>
      <c r="B5">
        <v>9.2445610077474275E-2</v>
      </c>
    </row>
    <row r="6" spans="1:9" x14ac:dyDescent="0.4">
      <c r="A6" t="s">
        <v>740</v>
      </c>
      <c r="B6">
        <v>8.6313485821240987E-2</v>
      </c>
    </row>
    <row r="7" spans="1:9" x14ac:dyDescent="0.4">
      <c r="A7" t="s">
        <v>711</v>
      </c>
      <c r="B7">
        <v>2.9453261215773638</v>
      </c>
    </row>
    <row r="8" spans="1:9" ht="16.5" thickBot="1" x14ac:dyDescent="0.45">
      <c r="A8" s="4" t="s">
        <v>728</v>
      </c>
      <c r="B8" s="4">
        <v>299</v>
      </c>
    </row>
    <row r="10" spans="1:9" ht="16.5" thickBot="1" x14ac:dyDescent="0.45">
      <c r="A10" t="s">
        <v>741</v>
      </c>
    </row>
    <row r="11" spans="1:9" x14ac:dyDescent="0.4">
      <c r="A11" s="7"/>
      <c r="B11" s="7" t="s">
        <v>730</v>
      </c>
      <c r="C11" s="7" t="s">
        <v>742</v>
      </c>
      <c r="D11" s="7" t="s">
        <v>50</v>
      </c>
      <c r="E11" s="7" t="s">
        <v>743</v>
      </c>
      <c r="F11" s="7" t="s">
        <v>757</v>
      </c>
    </row>
    <row r="12" spans="1:9" x14ac:dyDescent="0.4">
      <c r="A12" t="s">
        <v>744</v>
      </c>
      <c r="B12">
        <v>2</v>
      </c>
      <c r="C12">
        <v>261.56047672134127</v>
      </c>
      <c r="D12">
        <v>130.78023836067064</v>
      </c>
      <c r="E12">
        <v>15.075625707274874</v>
      </c>
      <c r="F12">
        <v>5.8230960442440249E-7</v>
      </c>
    </row>
    <row r="13" spans="1:9" x14ac:dyDescent="0.4">
      <c r="A13" t="s">
        <v>745</v>
      </c>
      <c r="B13">
        <v>296</v>
      </c>
      <c r="C13">
        <v>2567.7840048840035</v>
      </c>
      <c r="D13">
        <v>8.6749459624459568</v>
      </c>
    </row>
    <row r="14" spans="1:9" ht="16.5" thickBot="1" x14ac:dyDescent="0.45">
      <c r="A14" s="4" t="s">
        <v>746</v>
      </c>
      <c r="B14" s="4">
        <v>298</v>
      </c>
      <c r="C14" s="4">
        <v>2829.3444816053448</v>
      </c>
      <c r="D14" s="4"/>
      <c r="E14" s="4"/>
      <c r="F14" s="4"/>
    </row>
    <row r="15" spans="1:9" ht="16.5" thickBot="1" x14ac:dyDescent="0.45"/>
    <row r="16" spans="1:9" x14ac:dyDescent="0.4">
      <c r="A16" s="7"/>
      <c r="B16" s="7" t="s">
        <v>747</v>
      </c>
      <c r="C16" s="7" t="s">
        <v>711</v>
      </c>
      <c r="D16" s="7" t="s">
        <v>731</v>
      </c>
      <c r="E16" s="7" t="s">
        <v>748</v>
      </c>
      <c r="F16" s="7" t="s">
        <v>758</v>
      </c>
      <c r="G16" s="7" t="s">
        <v>749</v>
      </c>
      <c r="H16" s="7" t="s">
        <v>750</v>
      </c>
      <c r="I16" s="7" t="s">
        <v>751</v>
      </c>
    </row>
    <row r="17" spans="1:9" x14ac:dyDescent="0.4">
      <c r="A17" t="s">
        <v>752</v>
      </c>
      <c r="B17">
        <v>9.4666666666666632</v>
      </c>
      <c r="C17">
        <v>0.53774051866570927</v>
      </c>
      <c r="D17">
        <v>17.604525487787711</v>
      </c>
      <c r="E17">
        <v>5.8064741055396709E-48</v>
      </c>
      <c r="F17">
        <v>8.4083875572941054</v>
      </c>
      <c r="G17">
        <v>10.524945776039221</v>
      </c>
      <c r="H17">
        <v>8.4083875572941054</v>
      </c>
      <c r="I17">
        <v>10.524945776039221</v>
      </c>
    </row>
    <row r="18" spans="1:9" x14ac:dyDescent="0.4">
      <c r="A18" t="s">
        <v>26</v>
      </c>
      <c r="B18">
        <v>-1.1400488400488393</v>
      </c>
      <c r="C18">
        <v>0.53378649062144445</v>
      </c>
      <c r="D18">
        <v>-2.1357768697397579</v>
      </c>
      <c r="E18">
        <v>3.3518040002432879E-2</v>
      </c>
      <c r="F18">
        <v>-2.1905463798132492</v>
      </c>
      <c r="G18">
        <v>-8.9551300284429411E-2</v>
      </c>
      <c r="H18">
        <v>-2.1905463798132492</v>
      </c>
      <c r="I18">
        <v>-8.9551300284429411E-2</v>
      </c>
    </row>
    <row r="19" spans="1:9" ht="16.5" thickBot="1" x14ac:dyDescent="0.45">
      <c r="A19" s="4" t="s">
        <v>34</v>
      </c>
      <c r="B19" s="4">
        <v>3.0162393162393193</v>
      </c>
      <c r="C19" s="4">
        <v>0.57117185159792117</v>
      </c>
      <c r="D19" s="4">
        <v>5.2807912501308163</v>
      </c>
      <c r="E19" s="4">
        <v>2.495239350861765E-7</v>
      </c>
      <c r="F19" s="4">
        <v>1.8921669850198644</v>
      </c>
      <c r="G19" s="4">
        <v>4.1403116474587742</v>
      </c>
      <c r="H19" s="4">
        <v>1.8921669850198644</v>
      </c>
      <c r="I19" s="4">
        <v>4.1403116474587742</v>
      </c>
    </row>
    <row r="23" spans="1:9" x14ac:dyDescent="0.4">
      <c r="A23" t="s">
        <v>759</v>
      </c>
    </row>
    <row r="24" spans="1:9" ht="16.5" thickBot="1" x14ac:dyDescent="0.45"/>
    <row r="25" spans="1:9" x14ac:dyDescent="0.4">
      <c r="A25" s="7" t="s">
        <v>760</v>
      </c>
      <c r="B25" s="7" t="s">
        <v>761</v>
      </c>
      <c r="C25" s="7" t="s">
        <v>762</v>
      </c>
      <c r="D25" s="7" t="s">
        <v>763</v>
      </c>
    </row>
    <row r="26" spans="1:9" x14ac:dyDescent="0.4">
      <c r="A26">
        <v>1</v>
      </c>
      <c r="B26">
        <v>11.342857142857143</v>
      </c>
      <c r="C26">
        <v>-1.3428571428571434</v>
      </c>
      <c r="D26">
        <v>-0.45746587279202511</v>
      </c>
    </row>
    <row r="27" spans="1:9" x14ac:dyDescent="0.4">
      <c r="A27">
        <v>2</v>
      </c>
      <c r="B27">
        <v>12.482905982905983</v>
      </c>
      <c r="C27">
        <v>-12.482905982905983</v>
      </c>
      <c r="D27">
        <v>-4.2525025918251202</v>
      </c>
    </row>
    <row r="28" spans="1:9" x14ac:dyDescent="0.4">
      <c r="A28">
        <v>3</v>
      </c>
      <c r="B28">
        <v>12.482905982905983</v>
      </c>
      <c r="C28">
        <v>0.51709401709401703</v>
      </c>
      <c r="D28">
        <v>0.17615638945937673</v>
      </c>
    </row>
    <row r="29" spans="1:9" x14ac:dyDescent="0.4">
      <c r="A29">
        <v>4</v>
      </c>
      <c r="B29">
        <v>12.482905982905983</v>
      </c>
      <c r="C29">
        <v>-1.482905982905983</v>
      </c>
      <c r="D29">
        <v>-0.5051757615074689</v>
      </c>
    </row>
    <row r="30" spans="1:9" x14ac:dyDescent="0.4">
      <c r="A30">
        <v>5</v>
      </c>
      <c r="B30">
        <v>12.482905982905983</v>
      </c>
      <c r="C30">
        <v>-2.482905982905983</v>
      </c>
      <c r="D30">
        <v>-0.84584183699089177</v>
      </c>
    </row>
    <row r="31" spans="1:9" x14ac:dyDescent="0.4">
      <c r="A31">
        <v>6</v>
      </c>
      <c r="B31">
        <v>12.482905982905983</v>
      </c>
      <c r="C31">
        <v>2.517094017094017</v>
      </c>
      <c r="D31">
        <v>0.85748854042622236</v>
      </c>
    </row>
    <row r="32" spans="1:9" x14ac:dyDescent="0.4">
      <c r="A32">
        <v>7</v>
      </c>
      <c r="B32">
        <v>12.482905982905983</v>
      </c>
      <c r="C32">
        <v>2.517094017094017</v>
      </c>
      <c r="D32">
        <v>0.85748854042622236</v>
      </c>
    </row>
    <row r="33" spans="1:4" x14ac:dyDescent="0.4">
      <c r="A33">
        <v>8</v>
      </c>
      <c r="B33">
        <v>12.482905982905983</v>
      </c>
      <c r="C33">
        <v>-0.48290598290598297</v>
      </c>
      <c r="D33">
        <v>-0.16450968602404609</v>
      </c>
    </row>
    <row r="34" spans="1:4" x14ac:dyDescent="0.4">
      <c r="A34">
        <v>9</v>
      </c>
      <c r="B34">
        <v>12.482905982905983</v>
      </c>
      <c r="C34">
        <v>1.517094017094017</v>
      </c>
      <c r="D34">
        <v>0.5168224649427996</v>
      </c>
    </row>
    <row r="35" spans="1:4" x14ac:dyDescent="0.4">
      <c r="A35">
        <v>10</v>
      </c>
      <c r="B35">
        <v>12.482905982905983</v>
      </c>
      <c r="C35">
        <v>-0.48290598290598297</v>
      </c>
      <c r="D35">
        <v>-0.16450968602404609</v>
      </c>
    </row>
    <row r="36" spans="1:4" x14ac:dyDescent="0.4">
      <c r="A36">
        <v>11</v>
      </c>
      <c r="B36">
        <v>12.482905982905983</v>
      </c>
      <c r="C36">
        <v>4.517094017094017</v>
      </c>
      <c r="D36">
        <v>1.538820691393068</v>
      </c>
    </row>
    <row r="37" spans="1:4" x14ac:dyDescent="0.4">
      <c r="A37">
        <v>12</v>
      </c>
      <c r="B37">
        <v>12.482905982905983</v>
      </c>
      <c r="C37">
        <v>-12.482905982905983</v>
      </c>
      <c r="D37">
        <v>-4.2525025918251202</v>
      </c>
    </row>
    <row r="38" spans="1:4" x14ac:dyDescent="0.4">
      <c r="A38">
        <v>13</v>
      </c>
      <c r="B38">
        <v>9.4666666666666632</v>
      </c>
      <c r="C38">
        <v>0.53333333333333677</v>
      </c>
      <c r="D38">
        <v>0.18168857359116</v>
      </c>
    </row>
    <row r="39" spans="1:4" x14ac:dyDescent="0.4">
      <c r="A39">
        <v>14</v>
      </c>
      <c r="B39">
        <v>12.482905982905983</v>
      </c>
      <c r="C39">
        <v>1.517094017094017</v>
      </c>
      <c r="D39">
        <v>0.5168224649427996</v>
      </c>
    </row>
    <row r="40" spans="1:4" x14ac:dyDescent="0.4">
      <c r="A40">
        <v>15</v>
      </c>
      <c r="B40">
        <v>12.482905982905983</v>
      </c>
      <c r="C40">
        <v>-5.482905982905983</v>
      </c>
      <c r="D40">
        <v>-1.8678400634411603</v>
      </c>
    </row>
    <row r="41" spans="1:4" x14ac:dyDescent="0.4">
      <c r="A41">
        <v>16</v>
      </c>
      <c r="B41">
        <v>12.482905982905983</v>
      </c>
      <c r="C41">
        <v>2.517094017094017</v>
      </c>
      <c r="D41">
        <v>0.85748854042622236</v>
      </c>
    </row>
    <row r="42" spans="1:4" x14ac:dyDescent="0.4">
      <c r="A42">
        <v>17</v>
      </c>
      <c r="B42">
        <v>12.482905982905983</v>
      </c>
      <c r="C42">
        <v>-1.482905982905983</v>
      </c>
      <c r="D42">
        <v>-0.5051757615074689</v>
      </c>
    </row>
    <row r="43" spans="1:4" x14ac:dyDescent="0.4">
      <c r="A43">
        <v>18</v>
      </c>
      <c r="B43">
        <v>12.482905982905983</v>
      </c>
      <c r="C43">
        <v>0.51709401709401703</v>
      </c>
      <c r="D43">
        <v>0.17615638945937673</v>
      </c>
    </row>
    <row r="44" spans="1:4" x14ac:dyDescent="0.4">
      <c r="A44">
        <v>19</v>
      </c>
      <c r="B44">
        <v>12.482905982905983</v>
      </c>
      <c r="C44">
        <v>-0.48290598290598297</v>
      </c>
      <c r="D44">
        <v>-0.16450968602404609</v>
      </c>
    </row>
    <row r="45" spans="1:4" x14ac:dyDescent="0.4">
      <c r="A45">
        <v>20</v>
      </c>
      <c r="B45">
        <v>12.482905982905983</v>
      </c>
      <c r="C45">
        <v>-1.482905982905983</v>
      </c>
      <c r="D45">
        <v>-0.5051757615074689</v>
      </c>
    </row>
    <row r="46" spans="1:4" x14ac:dyDescent="0.4">
      <c r="A46">
        <v>21</v>
      </c>
      <c r="B46">
        <v>12.482905982905983</v>
      </c>
      <c r="C46">
        <v>3.517094017094017</v>
      </c>
      <c r="D46">
        <v>1.1981546159096452</v>
      </c>
    </row>
    <row r="47" spans="1:4" x14ac:dyDescent="0.4">
      <c r="A47">
        <v>22</v>
      </c>
      <c r="B47">
        <v>12.482905982905983</v>
      </c>
      <c r="C47">
        <v>-0.48290598290598297</v>
      </c>
      <c r="D47">
        <v>-0.16450968602404609</v>
      </c>
    </row>
    <row r="48" spans="1:4" x14ac:dyDescent="0.4">
      <c r="A48">
        <v>23</v>
      </c>
      <c r="B48">
        <v>12.482905982905983</v>
      </c>
      <c r="C48">
        <v>0.51709401709401703</v>
      </c>
      <c r="D48">
        <v>0.17615638945937673</v>
      </c>
    </row>
    <row r="49" spans="1:4" x14ac:dyDescent="0.4">
      <c r="A49">
        <v>24</v>
      </c>
      <c r="B49">
        <v>12.482905982905983</v>
      </c>
      <c r="C49">
        <v>-1.482905982905983</v>
      </c>
      <c r="D49">
        <v>-0.5051757615074689</v>
      </c>
    </row>
    <row r="50" spans="1:4" x14ac:dyDescent="0.4">
      <c r="A50">
        <v>25</v>
      </c>
      <c r="B50">
        <v>12.482905982905983</v>
      </c>
      <c r="C50">
        <v>2.517094017094017</v>
      </c>
      <c r="D50">
        <v>0.85748854042622236</v>
      </c>
    </row>
    <row r="51" spans="1:4" x14ac:dyDescent="0.4">
      <c r="A51">
        <v>26</v>
      </c>
      <c r="B51">
        <v>12.482905982905983</v>
      </c>
      <c r="C51">
        <v>-4.482905982905983</v>
      </c>
      <c r="D51">
        <v>-1.5271739879577375</v>
      </c>
    </row>
    <row r="52" spans="1:4" x14ac:dyDescent="0.4">
      <c r="A52">
        <v>27</v>
      </c>
      <c r="B52">
        <v>12.482905982905983</v>
      </c>
      <c r="C52">
        <v>-3.482905982905983</v>
      </c>
      <c r="D52">
        <v>-1.1865079124743145</v>
      </c>
    </row>
    <row r="53" spans="1:4" x14ac:dyDescent="0.4">
      <c r="A53">
        <v>28</v>
      </c>
      <c r="B53">
        <v>11.342857142857143</v>
      </c>
      <c r="C53">
        <v>-1.3428571428571434</v>
      </c>
      <c r="D53">
        <v>-0.45746587279202511</v>
      </c>
    </row>
    <row r="54" spans="1:4" x14ac:dyDescent="0.4">
      <c r="A54">
        <v>29</v>
      </c>
      <c r="B54">
        <v>11.342857142857143</v>
      </c>
      <c r="C54">
        <v>-2.3428571428571434</v>
      </c>
      <c r="D54">
        <v>-0.79813194827544798</v>
      </c>
    </row>
    <row r="55" spans="1:4" x14ac:dyDescent="0.4">
      <c r="A55">
        <v>30</v>
      </c>
      <c r="B55">
        <v>12.482905982905983</v>
      </c>
      <c r="C55">
        <v>-0.48290598290598297</v>
      </c>
      <c r="D55">
        <v>-0.16450968602404609</v>
      </c>
    </row>
    <row r="56" spans="1:4" x14ac:dyDescent="0.4">
      <c r="A56">
        <v>31</v>
      </c>
      <c r="B56">
        <v>12.482905982905983</v>
      </c>
      <c r="C56">
        <v>1.517094017094017</v>
      </c>
      <c r="D56">
        <v>0.5168224649427996</v>
      </c>
    </row>
    <row r="57" spans="1:4" x14ac:dyDescent="0.4">
      <c r="A57">
        <v>32</v>
      </c>
      <c r="B57">
        <v>11.342857142857143</v>
      </c>
      <c r="C57">
        <v>-0.34285714285714342</v>
      </c>
      <c r="D57">
        <v>-0.11679979730860231</v>
      </c>
    </row>
    <row r="58" spans="1:4" x14ac:dyDescent="0.4">
      <c r="A58">
        <v>33</v>
      </c>
      <c r="B58">
        <v>9.4666666666666632</v>
      </c>
      <c r="C58">
        <v>-0.46666666666666323</v>
      </c>
      <c r="D58">
        <v>-0.15897750189226281</v>
      </c>
    </row>
    <row r="59" spans="1:4" x14ac:dyDescent="0.4">
      <c r="A59">
        <v>34</v>
      </c>
      <c r="B59">
        <v>11.342857142857143</v>
      </c>
      <c r="C59">
        <v>6.6571428571428566</v>
      </c>
      <c r="D59">
        <v>2.2678627310753576</v>
      </c>
    </row>
    <row r="60" spans="1:4" x14ac:dyDescent="0.4">
      <c r="A60">
        <v>35</v>
      </c>
      <c r="B60">
        <v>11.342857142857143</v>
      </c>
      <c r="C60">
        <v>-0.34285714285714342</v>
      </c>
      <c r="D60">
        <v>-0.11679979730860231</v>
      </c>
    </row>
    <row r="61" spans="1:4" x14ac:dyDescent="0.4">
      <c r="A61">
        <v>36</v>
      </c>
      <c r="B61">
        <v>12.482905982905983</v>
      </c>
      <c r="C61">
        <v>3.517094017094017</v>
      </c>
      <c r="D61">
        <v>1.1981546159096452</v>
      </c>
    </row>
    <row r="62" spans="1:4" x14ac:dyDescent="0.4">
      <c r="A62">
        <v>37</v>
      </c>
      <c r="B62">
        <v>12.482905982905983</v>
      </c>
      <c r="C62">
        <v>-0.48290598290598297</v>
      </c>
      <c r="D62">
        <v>-0.16450968602404609</v>
      </c>
    </row>
    <row r="63" spans="1:4" x14ac:dyDescent="0.4">
      <c r="A63">
        <v>38</v>
      </c>
      <c r="B63">
        <v>12.482905982905983</v>
      </c>
      <c r="C63">
        <v>0.51709401709401703</v>
      </c>
      <c r="D63">
        <v>0.17615638945937673</v>
      </c>
    </row>
    <row r="64" spans="1:4" x14ac:dyDescent="0.4">
      <c r="A64">
        <v>39</v>
      </c>
      <c r="B64">
        <v>12.482905982905983</v>
      </c>
      <c r="C64">
        <v>-2.482905982905983</v>
      </c>
      <c r="D64">
        <v>-0.84584183699089177</v>
      </c>
    </row>
    <row r="65" spans="1:4" x14ac:dyDescent="0.4">
      <c r="A65">
        <v>40</v>
      </c>
      <c r="B65">
        <v>11.342857142857143</v>
      </c>
      <c r="C65">
        <v>-2.3428571428571434</v>
      </c>
      <c r="D65">
        <v>-0.79813194827544798</v>
      </c>
    </row>
    <row r="66" spans="1:4" x14ac:dyDescent="0.4">
      <c r="A66">
        <v>41</v>
      </c>
      <c r="B66">
        <v>9.4666666666666632</v>
      </c>
      <c r="C66">
        <v>4.5333333333333368</v>
      </c>
      <c r="D66">
        <v>1.5443528755248512</v>
      </c>
    </row>
    <row r="67" spans="1:4" x14ac:dyDescent="0.4">
      <c r="A67">
        <v>42</v>
      </c>
      <c r="B67">
        <v>9.4666666666666632</v>
      </c>
      <c r="C67">
        <v>-0.46666666666666323</v>
      </c>
      <c r="D67">
        <v>-0.15897750189226281</v>
      </c>
    </row>
    <row r="68" spans="1:4" x14ac:dyDescent="0.4">
      <c r="A68">
        <v>43</v>
      </c>
      <c r="B68">
        <v>12.482905982905983</v>
      </c>
      <c r="C68">
        <v>2.517094017094017</v>
      </c>
      <c r="D68">
        <v>0.85748854042622236</v>
      </c>
    </row>
    <row r="69" spans="1:4" x14ac:dyDescent="0.4">
      <c r="A69">
        <v>44</v>
      </c>
      <c r="B69">
        <v>12.482905982905983</v>
      </c>
      <c r="C69">
        <v>3.517094017094017</v>
      </c>
      <c r="D69">
        <v>1.1981546159096452</v>
      </c>
    </row>
    <row r="70" spans="1:4" x14ac:dyDescent="0.4">
      <c r="A70">
        <v>45</v>
      </c>
      <c r="B70">
        <v>9.4666666666666632</v>
      </c>
      <c r="C70">
        <v>0.53333333333333677</v>
      </c>
      <c r="D70">
        <v>0.18168857359116</v>
      </c>
    </row>
    <row r="71" spans="1:4" x14ac:dyDescent="0.4">
      <c r="A71">
        <v>46</v>
      </c>
      <c r="B71">
        <v>12.482905982905983</v>
      </c>
      <c r="C71">
        <v>-1.482905982905983</v>
      </c>
      <c r="D71">
        <v>-0.5051757615074689</v>
      </c>
    </row>
    <row r="72" spans="1:4" x14ac:dyDescent="0.4">
      <c r="A72">
        <v>47</v>
      </c>
      <c r="B72">
        <v>11.342857142857143</v>
      </c>
      <c r="C72">
        <v>-1.3428571428571434</v>
      </c>
      <c r="D72">
        <v>-0.45746587279202511</v>
      </c>
    </row>
    <row r="73" spans="1:4" x14ac:dyDescent="0.4">
      <c r="A73">
        <v>48</v>
      </c>
      <c r="B73">
        <v>12.482905982905983</v>
      </c>
      <c r="C73">
        <v>3.517094017094017</v>
      </c>
      <c r="D73">
        <v>1.1981546159096452</v>
      </c>
    </row>
    <row r="74" spans="1:4" x14ac:dyDescent="0.4">
      <c r="A74">
        <v>49</v>
      </c>
      <c r="B74">
        <v>12.482905982905983</v>
      </c>
      <c r="C74">
        <v>0.51709401709401703</v>
      </c>
      <c r="D74">
        <v>0.17615638945937673</v>
      </c>
    </row>
    <row r="75" spans="1:4" x14ac:dyDescent="0.4">
      <c r="A75">
        <v>50</v>
      </c>
      <c r="B75">
        <v>11.342857142857143</v>
      </c>
      <c r="C75">
        <v>-0.34285714285714342</v>
      </c>
      <c r="D75">
        <v>-0.11679979730860231</v>
      </c>
    </row>
    <row r="76" spans="1:4" x14ac:dyDescent="0.4">
      <c r="A76">
        <v>51</v>
      </c>
      <c r="B76">
        <v>12.482905982905983</v>
      </c>
      <c r="C76">
        <v>4.517094017094017</v>
      </c>
      <c r="D76">
        <v>1.538820691393068</v>
      </c>
    </row>
    <row r="77" spans="1:4" x14ac:dyDescent="0.4">
      <c r="A77">
        <v>52</v>
      </c>
      <c r="B77">
        <v>12.482905982905983</v>
      </c>
      <c r="C77">
        <v>4.517094017094017</v>
      </c>
      <c r="D77">
        <v>1.538820691393068</v>
      </c>
    </row>
    <row r="78" spans="1:4" x14ac:dyDescent="0.4">
      <c r="A78">
        <v>53</v>
      </c>
      <c r="B78">
        <v>12.482905982905983</v>
      </c>
      <c r="C78">
        <v>-0.48290598290598297</v>
      </c>
      <c r="D78">
        <v>-0.16450968602404609</v>
      </c>
    </row>
    <row r="79" spans="1:4" x14ac:dyDescent="0.4">
      <c r="A79">
        <v>54</v>
      </c>
      <c r="B79">
        <v>12.482905982905983</v>
      </c>
      <c r="C79">
        <v>2.517094017094017</v>
      </c>
      <c r="D79">
        <v>0.85748854042622236</v>
      </c>
    </row>
    <row r="80" spans="1:4" x14ac:dyDescent="0.4">
      <c r="A80">
        <v>55</v>
      </c>
      <c r="B80">
        <v>12.482905982905983</v>
      </c>
      <c r="C80">
        <v>1.517094017094017</v>
      </c>
      <c r="D80">
        <v>0.5168224649427996</v>
      </c>
    </row>
    <row r="81" spans="1:4" x14ac:dyDescent="0.4">
      <c r="A81">
        <v>56</v>
      </c>
      <c r="B81">
        <v>12.482905982905983</v>
      </c>
      <c r="C81">
        <v>-2.482905982905983</v>
      </c>
      <c r="D81">
        <v>-0.84584183699089177</v>
      </c>
    </row>
    <row r="82" spans="1:4" x14ac:dyDescent="0.4">
      <c r="A82">
        <v>57</v>
      </c>
      <c r="B82">
        <v>12.482905982905983</v>
      </c>
      <c r="C82">
        <v>-2.482905982905983</v>
      </c>
      <c r="D82">
        <v>-0.84584183699089177</v>
      </c>
    </row>
    <row r="83" spans="1:4" x14ac:dyDescent="0.4">
      <c r="A83">
        <v>58</v>
      </c>
      <c r="B83">
        <v>12.482905982905983</v>
      </c>
      <c r="C83">
        <v>0.51709401709401703</v>
      </c>
      <c r="D83">
        <v>0.17615638945937673</v>
      </c>
    </row>
    <row r="84" spans="1:4" x14ac:dyDescent="0.4">
      <c r="A84">
        <v>59</v>
      </c>
      <c r="B84">
        <v>11.342857142857143</v>
      </c>
      <c r="C84">
        <v>-1.3428571428571434</v>
      </c>
      <c r="D84">
        <v>-0.45746587279202511</v>
      </c>
    </row>
    <row r="85" spans="1:4" x14ac:dyDescent="0.4">
      <c r="A85">
        <v>60</v>
      </c>
      <c r="B85">
        <v>11.342857142857143</v>
      </c>
      <c r="C85">
        <v>1.6571428571428566</v>
      </c>
      <c r="D85">
        <v>0.56453235365824339</v>
      </c>
    </row>
    <row r="86" spans="1:4" x14ac:dyDescent="0.4">
      <c r="A86">
        <v>61</v>
      </c>
      <c r="B86">
        <v>12.482905982905983</v>
      </c>
      <c r="C86">
        <v>-1.482905982905983</v>
      </c>
      <c r="D86">
        <v>-0.5051757615074689</v>
      </c>
    </row>
    <row r="87" spans="1:4" x14ac:dyDescent="0.4">
      <c r="A87">
        <v>62</v>
      </c>
      <c r="B87">
        <v>12.482905982905983</v>
      </c>
      <c r="C87">
        <v>-1.482905982905983</v>
      </c>
      <c r="D87">
        <v>-0.5051757615074689</v>
      </c>
    </row>
    <row r="88" spans="1:4" x14ac:dyDescent="0.4">
      <c r="A88">
        <v>63</v>
      </c>
      <c r="B88">
        <v>12.482905982905983</v>
      </c>
      <c r="C88">
        <v>-0.48290598290598297</v>
      </c>
      <c r="D88">
        <v>-0.16450968602404609</v>
      </c>
    </row>
    <row r="89" spans="1:4" x14ac:dyDescent="0.4">
      <c r="A89">
        <v>64</v>
      </c>
      <c r="B89">
        <v>12.482905982905983</v>
      </c>
      <c r="C89">
        <v>-2.482905982905983</v>
      </c>
      <c r="D89">
        <v>-0.84584183699089177</v>
      </c>
    </row>
    <row r="90" spans="1:4" x14ac:dyDescent="0.4">
      <c r="A90">
        <v>65</v>
      </c>
      <c r="B90">
        <v>12.482905982905983</v>
      </c>
      <c r="C90">
        <v>3.517094017094017</v>
      </c>
      <c r="D90">
        <v>1.1981546159096452</v>
      </c>
    </row>
    <row r="91" spans="1:4" x14ac:dyDescent="0.4">
      <c r="A91">
        <v>66</v>
      </c>
      <c r="B91">
        <v>12.482905982905983</v>
      </c>
      <c r="C91">
        <v>-2.482905982905983</v>
      </c>
      <c r="D91">
        <v>-0.84584183699089177</v>
      </c>
    </row>
    <row r="92" spans="1:4" x14ac:dyDescent="0.4">
      <c r="A92">
        <v>67</v>
      </c>
      <c r="B92">
        <v>12.482905982905983</v>
      </c>
      <c r="C92">
        <v>-2.482905982905983</v>
      </c>
      <c r="D92">
        <v>-0.84584183699089177</v>
      </c>
    </row>
    <row r="93" spans="1:4" x14ac:dyDescent="0.4">
      <c r="A93">
        <v>68</v>
      </c>
      <c r="B93">
        <v>12.482905982905983</v>
      </c>
      <c r="C93">
        <v>-1.482905982905983</v>
      </c>
      <c r="D93">
        <v>-0.5051757615074689</v>
      </c>
    </row>
    <row r="94" spans="1:4" x14ac:dyDescent="0.4">
      <c r="A94">
        <v>69</v>
      </c>
      <c r="B94">
        <v>12.482905982905983</v>
      </c>
      <c r="C94">
        <v>3.517094017094017</v>
      </c>
      <c r="D94">
        <v>1.1981546159096452</v>
      </c>
    </row>
    <row r="95" spans="1:4" x14ac:dyDescent="0.4">
      <c r="A95">
        <v>70</v>
      </c>
      <c r="B95">
        <v>12.482905982905983</v>
      </c>
      <c r="C95">
        <v>-12.482905982905983</v>
      </c>
      <c r="D95">
        <v>-4.2525025918251202</v>
      </c>
    </row>
    <row r="96" spans="1:4" x14ac:dyDescent="0.4">
      <c r="A96">
        <v>71</v>
      </c>
      <c r="B96">
        <v>12.482905982905983</v>
      </c>
      <c r="C96">
        <v>-2.482905982905983</v>
      </c>
      <c r="D96">
        <v>-0.84584183699089177</v>
      </c>
    </row>
    <row r="97" spans="1:4" x14ac:dyDescent="0.4">
      <c r="A97">
        <v>72</v>
      </c>
      <c r="B97">
        <v>12.482905982905983</v>
      </c>
      <c r="C97">
        <v>2.517094017094017</v>
      </c>
      <c r="D97">
        <v>0.85748854042622236</v>
      </c>
    </row>
    <row r="98" spans="1:4" x14ac:dyDescent="0.4">
      <c r="A98">
        <v>73</v>
      </c>
      <c r="B98">
        <v>12.482905982905983</v>
      </c>
      <c r="C98">
        <v>3.517094017094017</v>
      </c>
      <c r="D98">
        <v>1.1981546159096452</v>
      </c>
    </row>
    <row r="99" spans="1:4" x14ac:dyDescent="0.4">
      <c r="A99">
        <v>74</v>
      </c>
      <c r="B99">
        <v>12.482905982905983</v>
      </c>
      <c r="C99">
        <v>-0.48290598290598297</v>
      </c>
      <c r="D99">
        <v>-0.16450968602404609</v>
      </c>
    </row>
    <row r="100" spans="1:4" x14ac:dyDescent="0.4">
      <c r="A100">
        <v>75</v>
      </c>
      <c r="B100">
        <v>11.342857142857143</v>
      </c>
      <c r="C100">
        <v>-0.34285714285714342</v>
      </c>
      <c r="D100">
        <v>-0.11679979730860231</v>
      </c>
    </row>
    <row r="101" spans="1:4" x14ac:dyDescent="0.4">
      <c r="A101">
        <v>76</v>
      </c>
      <c r="B101">
        <v>12.482905982905983</v>
      </c>
      <c r="C101">
        <v>-0.48290598290598297</v>
      </c>
      <c r="D101">
        <v>-0.16450968602404609</v>
      </c>
    </row>
    <row r="102" spans="1:4" x14ac:dyDescent="0.4">
      <c r="A102">
        <v>77</v>
      </c>
      <c r="B102">
        <v>11.342857142857143</v>
      </c>
      <c r="C102">
        <v>0.65714285714285658</v>
      </c>
      <c r="D102">
        <v>0.22386627817482052</v>
      </c>
    </row>
    <row r="103" spans="1:4" x14ac:dyDescent="0.4">
      <c r="A103">
        <v>78</v>
      </c>
      <c r="B103">
        <v>12.482905982905983</v>
      </c>
      <c r="C103">
        <v>-0.48290598290598297</v>
      </c>
      <c r="D103">
        <v>-0.16450968602404609</v>
      </c>
    </row>
    <row r="104" spans="1:4" x14ac:dyDescent="0.4">
      <c r="A104">
        <v>79</v>
      </c>
      <c r="B104">
        <v>12.482905982905983</v>
      </c>
      <c r="C104">
        <v>2.517094017094017</v>
      </c>
      <c r="D104">
        <v>0.85748854042622236</v>
      </c>
    </row>
    <row r="105" spans="1:4" x14ac:dyDescent="0.4">
      <c r="A105">
        <v>80</v>
      </c>
      <c r="B105">
        <v>12.482905982905983</v>
      </c>
      <c r="C105">
        <v>-0.48290598290598297</v>
      </c>
      <c r="D105">
        <v>-0.16450968602404609</v>
      </c>
    </row>
    <row r="106" spans="1:4" x14ac:dyDescent="0.4">
      <c r="A106">
        <v>81</v>
      </c>
      <c r="B106">
        <v>11.342857142857143</v>
      </c>
      <c r="C106">
        <v>-3.3428571428571434</v>
      </c>
      <c r="D106">
        <v>-1.1387980237588708</v>
      </c>
    </row>
    <row r="107" spans="1:4" x14ac:dyDescent="0.4">
      <c r="A107">
        <v>82</v>
      </c>
      <c r="B107">
        <v>12.482905982905983</v>
      </c>
      <c r="C107">
        <v>-1.482905982905983</v>
      </c>
      <c r="D107">
        <v>-0.5051757615074689</v>
      </c>
    </row>
    <row r="108" spans="1:4" x14ac:dyDescent="0.4">
      <c r="A108">
        <v>83</v>
      </c>
      <c r="B108">
        <v>12.482905982905983</v>
      </c>
      <c r="C108">
        <v>-1.482905982905983</v>
      </c>
      <c r="D108">
        <v>-0.5051757615074689</v>
      </c>
    </row>
    <row r="109" spans="1:4" x14ac:dyDescent="0.4">
      <c r="A109">
        <v>84</v>
      </c>
      <c r="B109">
        <v>12.482905982905983</v>
      </c>
      <c r="C109">
        <v>3.517094017094017</v>
      </c>
      <c r="D109">
        <v>1.1981546159096452</v>
      </c>
    </row>
    <row r="110" spans="1:4" x14ac:dyDescent="0.4">
      <c r="A110">
        <v>85</v>
      </c>
      <c r="B110">
        <v>12.482905982905983</v>
      </c>
      <c r="C110">
        <v>-0.48290598290598297</v>
      </c>
      <c r="D110">
        <v>-0.16450968602404609</v>
      </c>
    </row>
    <row r="111" spans="1:4" x14ac:dyDescent="0.4">
      <c r="A111">
        <v>86</v>
      </c>
      <c r="B111">
        <v>12.482905982905983</v>
      </c>
      <c r="C111">
        <v>0.51709401709401703</v>
      </c>
      <c r="D111">
        <v>0.17615638945937673</v>
      </c>
    </row>
    <row r="112" spans="1:4" x14ac:dyDescent="0.4">
      <c r="A112">
        <v>87</v>
      </c>
      <c r="B112">
        <v>12.482905982905983</v>
      </c>
      <c r="C112">
        <v>0.51709401709401703</v>
      </c>
      <c r="D112">
        <v>0.17615638945937673</v>
      </c>
    </row>
    <row r="113" spans="1:4" x14ac:dyDescent="0.4">
      <c r="A113">
        <v>88</v>
      </c>
      <c r="B113">
        <v>9.4666666666666632</v>
      </c>
      <c r="C113">
        <v>-0.46666666666666323</v>
      </c>
      <c r="D113">
        <v>-0.15897750189226281</v>
      </c>
    </row>
    <row r="114" spans="1:4" x14ac:dyDescent="0.4">
      <c r="A114">
        <v>89</v>
      </c>
      <c r="B114">
        <v>12.482905982905983</v>
      </c>
      <c r="C114">
        <v>-4.482905982905983</v>
      </c>
      <c r="D114">
        <v>-1.5271739879577375</v>
      </c>
    </row>
    <row r="115" spans="1:4" x14ac:dyDescent="0.4">
      <c r="A115">
        <v>90</v>
      </c>
      <c r="B115">
        <v>12.482905982905983</v>
      </c>
      <c r="C115">
        <v>-2.482905982905983</v>
      </c>
      <c r="D115">
        <v>-0.84584183699089177</v>
      </c>
    </row>
    <row r="116" spans="1:4" x14ac:dyDescent="0.4">
      <c r="A116">
        <v>91</v>
      </c>
      <c r="B116">
        <v>12.482905982905983</v>
      </c>
      <c r="C116">
        <v>0.51709401709401703</v>
      </c>
      <c r="D116">
        <v>0.17615638945937673</v>
      </c>
    </row>
    <row r="117" spans="1:4" x14ac:dyDescent="0.4">
      <c r="A117">
        <v>92</v>
      </c>
      <c r="B117">
        <v>12.482905982905983</v>
      </c>
      <c r="C117">
        <v>-2.482905982905983</v>
      </c>
      <c r="D117">
        <v>-0.84584183699089177</v>
      </c>
    </row>
    <row r="118" spans="1:4" x14ac:dyDescent="0.4">
      <c r="A118">
        <v>93</v>
      </c>
      <c r="B118">
        <v>12.482905982905983</v>
      </c>
      <c r="C118">
        <v>0.51709401709401703</v>
      </c>
      <c r="D118">
        <v>0.17615638945937673</v>
      </c>
    </row>
    <row r="119" spans="1:4" x14ac:dyDescent="0.4">
      <c r="A119">
        <v>94</v>
      </c>
      <c r="B119">
        <v>12.482905982905983</v>
      </c>
      <c r="C119">
        <v>3.517094017094017</v>
      </c>
      <c r="D119">
        <v>1.1981546159096452</v>
      </c>
    </row>
    <row r="120" spans="1:4" x14ac:dyDescent="0.4">
      <c r="A120">
        <v>95</v>
      </c>
      <c r="B120">
        <v>12.482905982905983</v>
      </c>
      <c r="C120">
        <v>0.51709401709401703</v>
      </c>
      <c r="D120">
        <v>0.17615638945937673</v>
      </c>
    </row>
    <row r="121" spans="1:4" x14ac:dyDescent="0.4">
      <c r="A121">
        <v>96</v>
      </c>
      <c r="B121">
        <v>12.482905982905983</v>
      </c>
      <c r="C121">
        <v>4.517094017094017</v>
      </c>
      <c r="D121">
        <v>1.538820691393068</v>
      </c>
    </row>
    <row r="122" spans="1:4" x14ac:dyDescent="0.4">
      <c r="A122">
        <v>97</v>
      </c>
      <c r="B122">
        <v>12.482905982905983</v>
      </c>
      <c r="C122">
        <v>-2.482905982905983</v>
      </c>
      <c r="D122">
        <v>-0.84584183699089177</v>
      </c>
    </row>
    <row r="123" spans="1:4" x14ac:dyDescent="0.4">
      <c r="A123">
        <v>98</v>
      </c>
      <c r="B123">
        <v>12.482905982905983</v>
      </c>
      <c r="C123">
        <v>0.51709401709401703</v>
      </c>
      <c r="D123">
        <v>0.17615638945937673</v>
      </c>
    </row>
    <row r="124" spans="1:4" x14ac:dyDescent="0.4">
      <c r="A124">
        <v>99</v>
      </c>
      <c r="B124">
        <v>9.4666666666666632</v>
      </c>
      <c r="C124">
        <v>0.53333333333333677</v>
      </c>
      <c r="D124">
        <v>0.18168857359116</v>
      </c>
    </row>
    <row r="125" spans="1:4" x14ac:dyDescent="0.4">
      <c r="A125">
        <v>100</v>
      </c>
      <c r="B125">
        <v>9.4666666666666632</v>
      </c>
      <c r="C125">
        <v>0.53333333333333677</v>
      </c>
      <c r="D125">
        <v>0.18168857359116</v>
      </c>
    </row>
    <row r="126" spans="1:4" x14ac:dyDescent="0.4">
      <c r="A126">
        <v>101</v>
      </c>
      <c r="B126">
        <v>12.482905982905983</v>
      </c>
      <c r="C126">
        <v>4.517094017094017</v>
      </c>
      <c r="D126">
        <v>1.538820691393068</v>
      </c>
    </row>
    <row r="127" spans="1:4" x14ac:dyDescent="0.4">
      <c r="A127">
        <v>102</v>
      </c>
      <c r="B127">
        <v>12.482905982905983</v>
      </c>
      <c r="C127">
        <v>4.517094017094017</v>
      </c>
      <c r="D127">
        <v>1.538820691393068</v>
      </c>
    </row>
    <row r="128" spans="1:4" x14ac:dyDescent="0.4">
      <c r="A128">
        <v>103</v>
      </c>
      <c r="B128">
        <v>11.342857142857143</v>
      </c>
      <c r="C128">
        <v>0.65714285714285658</v>
      </c>
      <c r="D128">
        <v>0.22386627817482052</v>
      </c>
    </row>
    <row r="129" spans="1:4" x14ac:dyDescent="0.4">
      <c r="A129">
        <v>104</v>
      </c>
      <c r="B129">
        <v>12.482905982905983</v>
      </c>
      <c r="C129">
        <v>-0.48290598290598297</v>
      </c>
      <c r="D129">
        <v>-0.16450968602404609</v>
      </c>
    </row>
    <row r="130" spans="1:4" x14ac:dyDescent="0.4">
      <c r="A130">
        <v>105</v>
      </c>
      <c r="B130">
        <v>12.482905982905983</v>
      </c>
      <c r="C130">
        <v>2.517094017094017</v>
      </c>
      <c r="D130">
        <v>0.85748854042622236</v>
      </c>
    </row>
    <row r="131" spans="1:4" x14ac:dyDescent="0.4">
      <c r="A131">
        <v>106</v>
      </c>
      <c r="B131">
        <v>12.482905982905983</v>
      </c>
      <c r="C131">
        <v>-1.482905982905983</v>
      </c>
      <c r="D131">
        <v>-0.5051757615074689</v>
      </c>
    </row>
    <row r="132" spans="1:4" x14ac:dyDescent="0.4">
      <c r="A132">
        <v>107</v>
      </c>
      <c r="B132">
        <v>11.342857142857143</v>
      </c>
      <c r="C132">
        <v>0.65714285714285658</v>
      </c>
      <c r="D132">
        <v>0.22386627817482052</v>
      </c>
    </row>
    <row r="133" spans="1:4" x14ac:dyDescent="0.4">
      <c r="A133">
        <v>108</v>
      </c>
      <c r="B133">
        <v>12.482905982905983</v>
      </c>
      <c r="C133">
        <v>1.517094017094017</v>
      </c>
      <c r="D133">
        <v>0.5168224649427996</v>
      </c>
    </row>
    <row r="134" spans="1:4" x14ac:dyDescent="0.4">
      <c r="A134">
        <v>109</v>
      </c>
      <c r="B134">
        <v>12.482905982905983</v>
      </c>
      <c r="C134">
        <v>-3.482905982905983</v>
      </c>
      <c r="D134">
        <v>-1.1865079124743145</v>
      </c>
    </row>
    <row r="135" spans="1:4" x14ac:dyDescent="0.4">
      <c r="A135">
        <v>110</v>
      </c>
      <c r="B135">
        <v>12.482905982905983</v>
      </c>
      <c r="C135">
        <v>-0.48290598290598297</v>
      </c>
      <c r="D135">
        <v>-0.16450968602404609</v>
      </c>
    </row>
    <row r="136" spans="1:4" x14ac:dyDescent="0.4">
      <c r="A136">
        <v>111</v>
      </c>
      <c r="B136">
        <v>12.482905982905983</v>
      </c>
      <c r="C136">
        <v>-0.48290598290598297</v>
      </c>
      <c r="D136">
        <v>-0.16450968602404609</v>
      </c>
    </row>
    <row r="137" spans="1:4" x14ac:dyDescent="0.4">
      <c r="A137">
        <v>112</v>
      </c>
      <c r="B137">
        <v>12.482905982905983</v>
      </c>
      <c r="C137">
        <v>4.517094017094017</v>
      </c>
      <c r="D137">
        <v>1.538820691393068</v>
      </c>
    </row>
    <row r="138" spans="1:4" x14ac:dyDescent="0.4">
      <c r="A138">
        <v>113</v>
      </c>
      <c r="B138">
        <v>12.482905982905983</v>
      </c>
      <c r="C138">
        <v>-4.482905982905983</v>
      </c>
      <c r="D138">
        <v>-1.5271739879577375</v>
      </c>
    </row>
    <row r="139" spans="1:4" x14ac:dyDescent="0.4">
      <c r="A139">
        <v>114</v>
      </c>
      <c r="B139">
        <v>12.482905982905983</v>
      </c>
      <c r="C139">
        <v>-0.48290598290598297</v>
      </c>
      <c r="D139">
        <v>-0.16450968602404609</v>
      </c>
    </row>
    <row r="140" spans="1:4" x14ac:dyDescent="0.4">
      <c r="A140">
        <v>115</v>
      </c>
      <c r="B140">
        <v>11.342857142857143</v>
      </c>
      <c r="C140">
        <v>-0.34285714285714342</v>
      </c>
      <c r="D140">
        <v>-0.11679979730860231</v>
      </c>
    </row>
    <row r="141" spans="1:4" x14ac:dyDescent="0.4">
      <c r="A141">
        <v>116</v>
      </c>
      <c r="B141">
        <v>12.482905982905983</v>
      </c>
      <c r="C141">
        <v>-2.482905982905983</v>
      </c>
      <c r="D141">
        <v>-0.84584183699089177</v>
      </c>
    </row>
    <row r="142" spans="1:4" x14ac:dyDescent="0.4">
      <c r="A142">
        <v>117</v>
      </c>
      <c r="B142">
        <v>12.482905982905983</v>
      </c>
      <c r="C142">
        <v>5.517094017094017</v>
      </c>
      <c r="D142">
        <v>1.879486766876491</v>
      </c>
    </row>
    <row r="143" spans="1:4" x14ac:dyDescent="0.4">
      <c r="A143">
        <v>118</v>
      </c>
      <c r="B143">
        <v>12.482905982905983</v>
      </c>
      <c r="C143">
        <v>1.517094017094017</v>
      </c>
      <c r="D143">
        <v>0.5168224649427996</v>
      </c>
    </row>
    <row r="144" spans="1:4" x14ac:dyDescent="0.4">
      <c r="A144">
        <v>119</v>
      </c>
      <c r="B144">
        <v>12.482905982905983</v>
      </c>
      <c r="C144">
        <v>-0.48290598290598297</v>
      </c>
      <c r="D144">
        <v>-0.16450968602404609</v>
      </c>
    </row>
    <row r="145" spans="1:4" x14ac:dyDescent="0.4">
      <c r="A145">
        <v>120</v>
      </c>
      <c r="B145">
        <v>12.482905982905983</v>
      </c>
      <c r="C145">
        <v>-1.482905982905983</v>
      </c>
      <c r="D145">
        <v>-0.5051757615074689</v>
      </c>
    </row>
    <row r="146" spans="1:4" x14ac:dyDescent="0.4">
      <c r="A146">
        <v>121</v>
      </c>
      <c r="B146">
        <v>12.482905982905983</v>
      </c>
      <c r="C146">
        <v>4.517094017094017</v>
      </c>
      <c r="D146">
        <v>1.538820691393068</v>
      </c>
    </row>
    <row r="147" spans="1:4" x14ac:dyDescent="0.4">
      <c r="A147">
        <v>122</v>
      </c>
      <c r="B147">
        <v>9.4666666666666632</v>
      </c>
      <c r="C147">
        <v>-2.4666666666666632</v>
      </c>
      <c r="D147">
        <v>-0.84030965285910852</v>
      </c>
    </row>
    <row r="148" spans="1:4" x14ac:dyDescent="0.4">
      <c r="A148">
        <v>123</v>
      </c>
      <c r="B148">
        <v>9.4666666666666632</v>
      </c>
      <c r="C148">
        <v>-0.46666666666666323</v>
      </c>
      <c r="D148">
        <v>-0.15897750189226281</v>
      </c>
    </row>
    <row r="149" spans="1:4" x14ac:dyDescent="0.4">
      <c r="A149">
        <v>124</v>
      </c>
      <c r="B149">
        <v>11.342857142857143</v>
      </c>
      <c r="C149">
        <v>2.6571428571428566</v>
      </c>
      <c r="D149">
        <v>0.90519842914166615</v>
      </c>
    </row>
    <row r="150" spans="1:4" x14ac:dyDescent="0.4">
      <c r="A150">
        <v>125</v>
      </c>
      <c r="B150">
        <v>12.482905982905983</v>
      </c>
      <c r="C150">
        <v>6.517094017094017</v>
      </c>
      <c r="D150">
        <v>2.2201528423599135</v>
      </c>
    </row>
    <row r="151" spans="1:4" x14ac:dyDescent="0.4">
      <c r="A151">
        <v>126</v>
      </c>
      <c r="B151">
        <v>12.482905982905983</v>
      </c>
      <c r="C151">
        <v>3.517094017094017</v>
      </c>
      <c r="D151">
        <v>1.1981546159096452</v>
      </c>
    </row>
    <row r="152" spans="1:4" x14ac:dyDescent="0.4">
      <c r="A152">
        <v>127</v>
      </c>
      <c r="B152">
        <v>12.482905982905983</v>
      </c>
      <c r="C152">
        <v>-2.482905982905983</v>
      </c>
      <c r="D152">
        <v>-0.84584183699089177</v>
      </c>
    </row>
    <row r="153" spans="1:4" x14ac:dyDescent="0.4">
      <c r="A153">
        <v>128</v>
      </c>
      <c r="B153">
        <v>12.482905982905983</v>
      </c>
      <c r="C153">
        <v>-3.482905982905983</v>
      </c>
      <c r="D153">
        <v>-1.1865079124743145</v>
      </c>
    </row>
    <row r="154" spans="1:4" x14ac:dyDescent="0.4">
      <c r="A154">
        <v>129</v>
      </c>
      <c r="B154">
        <v>12.482905982905983</v>
      </c>
      <c r="C154">
        <v>-4.482905982905983</v>
      </c>
      <c r="D154">
        <v>-1.5271739879577375</v>
      </c>
    </row>
    <row r="155" spans="1:4" x14ac:dyDescent="0.4">
      <c r="A155">
        <v>130</v>
      </c>
      <c r="B155">
        <v>12.482905982905983</v>
      </c>
      <c r="C155">
        <v>0.51709401709401703</v>
      </c>
      <c r="D155">
        <v>0.17615638945937673</v>
      </c>
    </row>
    <row r="156" spans="1:4" x14ac:dyDescent="0.4">
      <c r="A156">
        <v>131</v>
      </c>
      <c r="B156">
        <v>12.482905982905983</v>
      </c>
      <c r="C156">
        <v>-0.48290598290598297</v>
      </c>
      <c r="D156">
        <v>-0.16450968602404609</v>
      </c>
    </row>
    <row r="157" spans="1:4" x14ac:dyDescent="0.4">
      <c r="A157">
        <v>132</v>
      </c>
      <c r="B157">
        <v>12.482905982905983</v>
      </c>
      <c r="C157">
        <v>-2.482905982905983</v>
      </c>
      <c r="D157">
        <v>-0.84584183699089177</v>
      </c>
    </row>
    <row r="158" spans="1:4" x14ac:dyDescent="0.4">
      <c r="A158">
        <v>133</v>
      </c>
      <c r="B158">
        <v>12.482905982905983</v>
      </c>
      <c r="C158">
        <v>2.517094017094017</v>
      </c>
      <c r="D158">
        <v>0.85748854042622236</v>
      </c>
    </row>
    <row r="159" spans="1:4" x14ac:dyDescent="0.4">
      <c r="A159">
        <v>134</v>
      </c>
      <c r="B159">
        <v>12.482905982905983</v>
      </c>
      <c r="C159">
        <v>1.517094017094017</v>
      </c>
      <c r="D159">
        <v>0.5168224649427996</v>
      </c>
    </row>
    <row r="160" spans="1:4" x14ac:dyDescent="0.4">
      <c r="A160">
        <v>135</v>
      </c>
      <c r="B160">
        <v>12.482905982905983</v>
      </c>
      <c r="C160">
        <v>-3.482905982905983</v>
      </c>
      <c r="D160">
        <v>-1.1865079124743145</v>
      </c>
    </row>
    <row r="161" spans="1:4" x14ac:dyDescent="0.4">
      <c r="A161">
        <v>136</v>
      </c>
      <c r="B161">
        <v>12.482905982905983</v>
      </c>
      <c r="C161">
        <v>-1.482905982905983</v>
      </c>
      <c r="D161">
        <v>-0.5051757615074689</v>
      </c>
    </row>
    <row r="162" spans="1:4" x14ac:dyDescent="0.4">
      <c r="A162">
        <v>137</v>
      </c>
      <c r="B162">
        <v>12.482905982905983</v>
      </c>
      <c r="C162">
        <v>-0.48290598290598297</v>
      </c>
      <c r="D162">
        <v>-0.16450968602404609</v>
      </c>
    </row>
    <row r="163" spans="1:4" x14ac:dyDescent="0.4">
      <c r="A163">
        <v>138</v>
      </c>
      <c r="B163">
        <v>12.482905982905983</v>
      </c>
      <c r="C163">
        <v>5.517094017094017</v>
      </c>
      <c r="D163">
        <v>1.879486766876491</v>
      </c>
    </row>
    <row r="164" spans="1:4" x14ac:dyDescent="0.4">
      <c r="A164">
        <v>139</v>
      </c>
      <c r="B164">
        <v>12.482905982905983</v>
      </c>
      <c r="C164">
        <v>5.517094017094017</v>
      </c>
      <c r="D164">
        <v>1.879486766876491</v>
      </c>
    </row>
    <row r="165" spans="1:4" x14ac:dyDescent="0.4">
      <c r="A165">
        <v>140</v>
      </c>
      <c r="B165">
        <v>12.482905982905983</v>
      </c>
      <c r="C165">
        <v>2.517094017094017</v>
      </c>
      <c r="D165">
        <v>0.85748854042622236</v>
      </c>
    </row>
    <row r="166" spans="1:4" x14ac:dyDescent="0.4">
      <c r="A166">
        <v>141</v>
      </c>
      <c r="B166">
        <v>12.482905982905983</v>
      </c>
      <c r="C166">
        <v>4.517094017094017</v>
      </c>
      <c r="D166">
        <v>1.538820691393068</v>
      </c>
    </row>
    <row r="167" spans="1:4" x14ac:dyDescent="0.4">
      <c r="A167">
        <v>142</v>
      </c>
      <c r="B167">
        <v>11.342857142857143</v>
      </c>
      <c r="C167">
        <v>-0.34285714285714342</v>
      </c>
      <c r="D167">
        <v>-0.11679979730860231</v>
      </c>
    </row>
    <row r="168" spans="1:4" x14ac:dyDescent="0.4">
      <c r="A168">
        <v>143</v>
      </c>
      <c r="B168">
        <v>12.482905982905983</v>
      </c>
      <c r="C168">
        <v>1.517094017094017</v>
      </c>
      <c r="D168">
        <v>0.5168224649427996</v>
      </c>
    </row>
    <row r="169" spans="1:4" x14ac:dyDescent="0.4">
      <c r="A169">
        <v>144</v>
      </c>
      <c r="B169">
        <v>12.482905982905983</v>
      </c>
      <c r="C169">
        <v>-0.48290598290598297</v>
      </c>
      <c r="D169">
        <v>-0.16450968602404609</v>
      </c>
    </row>
    <row r="170" spans="1:4" x14ac:dyDescent="0.4">
      <c r="A170">
        <v>145</v>
      </c>
      <c r="B170">
        <v>12.482905982905983</v>
      </c>
      <c r="C170">
        <v>1.517094017094017</v>
      </c>
      <c r="D170">
        <v>0.5168224649427996</v>
      </c>
    </row>
    <row r="171" spans="1:4" x14ac:dyDescent="0.4">
      <c r="A171">
        <v>146</v>
      </c>
      <c r="B171">
        <v>12.482905982905983</v>
      </c>
      <c r="C171">
        <v>-3.482905982905983</v>
      </c>
      <c r="D171">
        <v>-1.1865079124743145</v>
      </c>
    </row>
    <row r="172" spans="1:4" x14ac:dyDescent="0.4">
      <c r="A172">
        <v>147</v>
      </c>
      <c r="B172">
        <v>9.4666666666666632</v>
      </c>
      <c r="C172">
        <v>-3.4666666666666632</v>
      </c>
      <c r="D172">
        <v>-1.1809757283425313</v>
      </c>
    </row>
    <row r="173" spans="1:4" x14ac:dyDescent="0.4">
      <c r="A173">
        <v>148</v>
      </c>
      <c r="B173">
        <v>12.482905982905983</v>
      </c>
      <c r="C173">
        <v>-1.482905982905983</v>
      </c>
      <c r="D173">
        <v>-0.5051757615074689</v>
      </c>
    </row>
    <row r="174" spans="1:4" x14ac:dyDescent="0.4">
      <c r="A174">
        <v>149</v>
      </c>
      <c r="B174">
        <v>9.4666666666666632</v>
      </c>
      <c r="C174">
        <v>0.53333333333333677</v>
      </c>
      <c r="D174">
        <v>0.18168857359116</v>
      </c>
    </row>
    <row r="175" spans="1:4" x14ac:dyDescent="0.4">
      <c r="A175">
        <v>150</v>
      </c>
      <c r="B175">
        <v>12.482905982905983</v>
      </c>
      <c r="C175">
        <v>-4.482905982905983</v>
      </c>
      <c r="D175">
        <v>-1.5271739879577375</v>
      </c>
    </row>
    <row r="176" spans="1:4" x14ac:dyDescent="0.4">
      <c r="A176">
        <v>151</v>
      </c>
      <c r="B176">
        <v>11.342857142857143</v>
      </c>
      <c r="C176">
        <v>0.65714285714285658</v>
      </c>
      <c r="D176">
        <v>0.22386627817482052</v>
      </c>
    </row>
    <row r="177" spans="1:4" x14ac:dyDescent="0.4">
      <c r="A177">
        <v>152</v>
      </c>
      <c r="B177">
        <v>12.482905982905983</v>
      </c>
      <c r="C177">
        <v>-2.482905982905983</v>
      </c>
      <c r="D177">
        <v>-0.84584183699089177</v>
      </c>
    </row>
    <row r="178" spans="1:4" x14ac:dyDescent="0.4">
      <c r="A178">
        <v>153</v>
      </c>
      <c r="B178">
        <v>11.342857142857143</v>
      </c>
      <c r="C178">
        <v>2.6571428571428566</v>
      </c>
      <c r="D178">
        <v>0.90519842914166615</v>
      </c>
    </row>
    <row r="179" spans="1:4" x14ac:dyDescent="0.4">
      <c r="A179">
        <v>154</v>
      </c>
      <c r="B179">
        <v>11.342857142857143</v>
      </c>
      <c r="C179">
        <v>0.65714285714285658</v>
      </c>
      <c r="D179">
        <v>0.22386627817482052</v>
      </c>
    </row>
    <row r="180" spans="1:4" x14ac:dyDescent="0.4">
      <c r="A180">
        <v>155</v>
      </c>
      <c r="B180">
        <v>12.482905982905983</v>
      </c>
      <c r="C180">
        <v>-2.482905982905983</v>
      </c>
      <c r="D180">
        <v>-0.84584183699089177</v>
      </c>
    </row>
    <row r="181" spans="1:4" x14ac:dyDescent="0.4">
      <c r="A181">
        <v>156</v>
      </c>
      <c r="B181">
        <v>12.482905982905983</v>
      </c>
      <c r="C181">
        <v>-4.482905982905983</v>
      </c>
      <c r="D181">
        <v>-1.5271739879577375</v>
      </c>
    </row>
    <row r="182" spans="1:4" x14ac:dyDescent="0.4">
      <c r="A182">
        <v>157</v>
      </c>
      <c r="B182">
        <v>12.482905982905983</v>
      </c>
      <c r="C182">
        <v>-2.482905982905983</v>
      </c>
      <c r="D182">
        <v>-0.84584183699089177</v>
      </c>
    </row>
    <row r="183" spans="1:4" x14ac:dyDescent="0.4">
      <c r="A183">
        <v>158</v>
      </c>
      <c r="B183">
        <v>12.482905982905983</v>
      </c>
      <c r="C183">
        <v>-2.482905982905983</v>
      </c>
      <c r="D183">
        <v>-0.84584183699089177</v>
      </c>
    </row>
    <row r="184" spans="1:4" x14ac:dyDescent="0.4">
      <c r="A184">
        <v>159</v>
      </c>
      <c r="B184">
        <v>12.482905982905983</v>
      </c>
      <c r="C184">
        <v>2.517094017094017</v>
      </c>
      <c r="D184">
        <v>0.85748854042622236</v>
      </c>
    </row>
    <row r="185" spans="1:4" x14ac:dyDescent="0.4">
      <c r="A185">
        <v>160</v>
      </c>
      <c r="B185">
        <v>9.4666666666666632</v>
      </c>
      <c r="C185">
        <v>0.53333333333333677</v>
      </c>
      <c r="D185">
        <v>0.18168857359116</v>
      </c>
    </row>
    <row r="186" spans="1:4" x14ac:dyDescent="0.4">
      <c r="A186">
        <v>161</v>
      </c>
      <c r="B186">
        <v>12.482905982905983</v>
      </c>
      <c r="C186">
        <v>2.517094017094017</v>
      </c>
      <c r="D186">
        <v>0.85748854042622236</v>
      </c>
    </row>
    <row r="187" spans="1:4" x14ac:dyDescent="0.4">
      <c r="A187">
        <v>162</v>
      </c>
      <c r="B187">
        <v>12.482905982905983</v>
      </c>
      <c r="C187">
        <v>-2.482905982905983</v>
      </c>
      <c r="D187">
        <v>-0.84584183699089177</v>
      </c>
    </row>
    <row r="188" spans="1:4" x14ac:dyDescent="0.4">
      <c r="A188">
        <v>163</v>
      </c>
      <c r="B188">
        <v>12.482905982905983</v>
      </c>
      <c r="C188">
        <v>0.51709401709401703</v>
      </c>
      <c r="D188">
        <v>0.17615638945937673</v>
      </c>
    </row>
    <row r="189" spans="1:4" x14ac:dyDescent="0.4">
      <c r="A189">
        <v>164</v>
      </c>
      <c r="B189">
        <v>12.482905982905983</v>
      </c>
      <c r="C189">
        <v>-0.48290598290598297</v>
      </c>
      <c r="D189">
        <v>-0.16450968602404609</v>
      </c>
    </row>
    <row r="190" spans="1:4" x14ac:dyDescent="0.4">
      <c r="A190">
        <v>165</v>
      </c>
      <c r="B190">
        <v>12.482905982905983</v>
      </c>
      <c r="C190">
        <v>-0.48290598290598297</v>
      </c>
      <c r="D190">
        <v>-0.16450968602404609</v>
      </c>
    </row>
    <row r="191" spans="1:4" x14ac:dyDescent="0.4">
      <c r="A191">
        <v>166</v>
      </c>
      <c r="B191">
        <v>12.482905982905983</v>
      </c>
      <c r="C191">
        <v>-4.482905982905983</v>
      </c>
      <c r="D191">
        <v>-1.5271739879577375</v>
      </c>
    </row>
    <row r="192" spans="1:4" x14ac:dyDescent="0.4">
      <c r="A192">
        <v>167</v>
      </c>
      <c r="B192">
        <v>12.482905982905983</v>
      </c>
      <c r="C192">
        <v>-1.482905982905983</v>
      </c>
      <c r="D192">
        <v>-0.5051757615074689</v>
      </c>
    </row>
    <row r="193" spans="1:4" x14ac:dyDescent="0.4">
      <c r="A193">
        <v>168</v>
      </c>
      <c r="B193">
        <v>12.482905982905983</v>
      </c>
      <c r="C193">
        <v>-2.482905982905983</v>
      </c>
      <c r="D193">
        <v>-0.84584183699089177</v>
      </c>
    </row>
    <row r="194" spans="1:4" x14ac:dyDescent="0.4">
      <c r="A194">
        <v>169</v>
      </c>
      <c r="B194">
        <v>9.4666666666666632</v>
      </c>
      <c r="C194">
        <v>-0.46666666666666323</v>
      </c>
      <c r="D194">
        <v>-0.15897750189226281</v>
      </c>
    </row>
    <row r="195" spans="1:4" x14ac:dyDescent="0.4">
      <c r="A195">
        <v>170</v>
      </c>
      <c r="B195">
        <v>12.482905982905983</v>
      </c>
      <c r="C195">
        <v>-1.482905982905983</v>
      </c>
      <c r="D195">
        <v>-0.5051757615074689</v>
      </c>
    </row>
    <row r="196" spans="1:4" x14ac:dyDescent="0.4">
      <c r="A196">
        <v>171</v>
      </c>
      <c r="B196">
        <v>9.4666666666666632</v>
      </c>
      <c r="C196">
        <v>1.5333333333333368</v>
      </c>
      <c r="D196">
        <v>0.52235464907458284</v>
      </c>
    </row>
    <row r="197" spans="1:4" x14ac:dyDescent="0.4">
      <c r="A197">
        <v>172</v>
      </c>
      <c r="B197">
        <v>12.482905982905983</v>
      </c>
      <c r="C197">
        <v>0.51709401709401703</v>
      </c>
      <c r="D197">
        <v>0.17615638945937673</v>
      </c>
    </row>
    <row r="198" spans="1:4" x14ac:dyDescent="0.4">
      <c r="A198">
        <v>173</v>
      </c>
      <c r="B198">
        <v>11.342857142857143</v>
      </c>
      <c r="C198">
        <v>-0.34285714285714342</v>
      </c>
      <c r="D198">
        <v>-0.11679979730860231</v>
      </c>
    </row>
    <row r="199" spans="1:4" x14ac:dyDescent="0.4">
      <c r="A199">
        <v>174</v>
      </c>
      <c r="B199">
        <v>11.342857142857143</v>
      </c>
      <c r="C199">
        <v>2.6571428571428566</v>
      </c>
      <c r="D199">
        <v>0.90519842914166615</v>
      </c>
    </row>
    <row r="200" spans="1:4" x14ac:dyDescent="0.4">
      <c r="A200">
        <v>175</v>
      </c>
      <c r="B200">
        <v>9.4666666666666632</v>
      </c>
      <c r="C200">
        <v>1.5333333333333368</v>
      </c>
      <c r="D200">
        <v>0.52235464907458284</v>
      </c>
    </row>
    <row r="201" spans="1:4" x14ac:dyDescent="0.4">
      <c r="A201">
        <v>176</v>
      </c>
      <c r="B201">
        <v>12.482905982905983</v>
      </c>
      <c r="C201">
        <v>2.517094017094017</v>
      </c>
      <c r="D201">
        <v>0.85748854042622236</v>
      </c>
    </row>
    <row r="202" spans="1:4" x14ac:dyDescent="0.4">
      <c r="A202">
        <v>177</v>
      </c>
      <c r="B202">
        <v>11.342857142857143</v>
      </c>
      <c r="C202">
        <v>-0.34285714285714342</v>
      </c>
      <c r="D202">
        <v>-0.11679979730860231</v>
      </c>
    </row>
    <row r="203" spans="1:4" x14ac:dyDescent="0.4">
      <c r="A203">
        <v>178</v>
      </c>
      <c r="B203">
        <v>12.482905982905983</v>
      </c>
      <c r="C203">
        <v>0.51709401709401703</v>
      </c>
      <c r="D203">
        <v>0.17615638945937673</v>
      </c>
    </row>
    <row r="204" spans="1:4" x14ac:dyDescent="0.4">
      <c r="A204">
        <v>179</v>
      </c>
      <c r="B204">
        <v>12.482905982905983</v>
      </c>
      <c r="C204">
        <v>-1.482905982905983</v>
      </c>
      <c r="D204">
        <v>-0.5051757615074689</v>
      </c>
    </row>
    <row r="205" spans="1:4" x14ac:dyDescent="0.4">
      <c r="A205">
        <v>180</v>
      </c>
      <c r="B205">
        <v>12.482905982905983</v>
      </c>
      <c r="C205">
        <v>-2.482905982905983</v>
      </c>
      <c r="D205">
        <v>-0.84584183699089177</v>
      </c>
    </row>
    <row r="206" spans="1:4" x14ac:dyDescent="0.4">
      <c r="A206">
        <v>181</v>
      </c>
      <c r="B206">
        <v>12.482905982905983</v>
      </c>
      <c r="C206">
        <v>5.517094017094017</v>
      </c>
      <c r="D206">
        <v>1.879486766876491</v>
      </c>
    </row>
    <row r="207" spans="1:4" x14ac:dyDescent="0.4">
      <c r="A207">
        <v>182</v>
      </c>
      <c r="B207">
        <v>12.482905982905983</v>
      </c>
      <c r="C207">
        <v>0.51709401709401703</v>
      </c>
      <c r="D207">
        <v>0.17615638945937673</v>
      </c>
    </row>
    <row r="208" spans="1:4" x14ac:dyDescent="0.4">
      <c r="A208">
        <v>183</v>
      </c>
      <c r="B208">
        <v>11.342857142857143</v>
      </c>
      <c r="C208">
        <v>-0.34285714285714342</v>
      </c>
      <c r="D208">
        <v>-0.11679979730860231</v>
      </c>
    </row>
    <row r="209" spans="1:4" x14ac:dyDescent="0.4">
      <c r="A209">
        <v>184</v>
      </c>
      <c r="B209">
        <v>12.482905982905983</v>
      </c>
      <c r="C209">
        <v>0.51709401709401703</v>
      </c>
      <c r="D209">
        <v>0.17615638945937673</v>
      </c>
    </row>
    <row r="210" spans="1:4" x14ac:dyDescent="0.4">
      <c r="A210">
        <v>185</v>
      </c>
      <c r="B210">
        <v>12.482905982905983</v>
      </c>
      <c r="C210">
        <v>2.517094017094017</v>
      </c>
      <c r="D210">
        <v>0.85748854042622236</v>
      </c>
    </row>
    <row r="211" spans="1:4" x14ac:dyDescent="0.4">
      <c r="A211">
        <v>186</v>
      </c>
      <c r="B211">
        <v>12.482905982905983</v>
      </c>
      <c r="C211">
        <v>0.51709401709401703</v>
      </c>
      <c r="D211">
        <v>0.17615638945937673</v>
      </c>
    </row>
    <row r="212" spans="1:4" x14ac:dyDescent="0.4">
      <c r="A212">
        <v>187</v>
      </c>
      <c r="B212">
        <v>12.482905982905983</v>
      </c>
      <c r="C212">
        <v>-5.482905982905983</v>
      </c>
      <c r="D212">
        <v>-1.8678400634411603</v>
      </c>
    </row>
    <row r="213" spans="1:4" x14ac:dyDescent="0.4">
      <c r="A213">
        <v>188</v>
      </c>
      <c r="B213">
        <v>12.482905982905983</v>
      </c>
      <c r="C213">
        <v>2.517094017094017</v>
      </c>
      <c r="D213">
        <v>0.85748854042622236</v>
      </c>
    </row>
    <row r="214" spans="1:4" x14ac:dyDescent="0.4">
      <c r="A214">
        <v>189</v>
      </c>
      <c r="B214">
        <v>12.482905982905983</v>
      </c>
      <c r="C214">
        <v>1.517094017094017</v>
      </c>
      <c r="D214">
        <v>0.5168224649427996</v>
      </c>
    </row>
    <row r="215" spans="1:4" x14ac:dyDescent="0.4">
      <c r="A215">
        <v>190</v>
      </c>
      <c r="B215">
        <v>12.482905982905983</v>
      </c>
      <c r="C215">
        <v>1.517094017094017</v>
      </c>
      <c r="D215">
        <v>0.5168224649427996</v>
      </c>
    </row>
    <row r="216" spans="1:4" x14ac:dyDescent="0.4">
      <c r="A216">
        <v>191</v>
      </c>
      <c r="B216">
        <v>12.482905982905983</v>
      </c>
      <c r="C216">
        <v>-0.48290598290598297</v>
      </c>
      <c r="D216">
        <v>-0.16450968602404609</v>
      </c>
    </row>
    <row r="217" spans="1:4" x14ac:dyDescent="0.4">
      <c r="A217">
        <v>192</v>
      </c>
      <c r="B217">
        <v>12.482905982905983</v>
      </c>
      <c r="C217">
        <v>3.517094017094017</v>
      </c>
      <c r="D217">
        <v>1.1981546159096452</v>
      </c>
    </row>
    <row r="218" spans="1:4" x14ac:dyDescent="0.4">
      <c r="A218">
        <v>193</v>
      </c>
      <c r="B218">
        <v>12.482905982905983</v>
      </c>
      <c r="C218">
        <v>5.517094017094017</v>
      </c>
      <c r="D218">
        <v>1.879486766876491</v>
      </c>
    </row>
    <row r="219" spans="1:4" x14ac:dyDescent="0.4">
      <c r="A219">
        <v>194</v>
      </c>
      <c r="B219">
        <v>12.482905982905983</v>
      </c>
      <c r="C219">
        <v>-1.482905982905983</v>
      </c>
      <c r="D219">
        <v>-0.5051757615074689</v>
      </c>
    </row>
    <row r="220" spans="1:4" x14ac:dyDescent="0.4">
      <c r="A220">
        <v>195</v>
      </c>
      <c r="B220">
        <v>12.482905982905983</v>
      </c>
      <c r="C220">
        <v>3.517094017094017</v>
      </c>
      <c r="D220">
        <v>1.1981546159096452</v>
      </c>
    </row>
    <row r="221" spans="1:4" x14ac:dyDescent="0.4">
      <c r="A221">
        <v>196</v>
      </c>
      <c r="B221">
        <v>12.482905982905983</v>
      </c>
      <c r="C221">
        <v>-0.48290598290598297</v>
      </c>
      <c r="D221">
        <v>-0.16450968602404609</v>
      </c>
    </row>
    <row r="222" spans="1:4" x14ac:dyDescent="0.4">
      <c r="A222">
        <v>197</v>
      </c>
      <c r="B222">
        <v>12.482905982905983</v>
      </c>
      <c r="C222">
        <v>0.51709401709401703</v>
      </c>
      <c r="D222">
        <v>0.17615638945937673</v>
      </c>
    </row>
    <row r="223" spans="1:4" x14ac:dyDescent="0.4">
      <c r="A223">
        <v>198</v>
      </c>
      <c r="B223">
        <v>12.482905982905983</v>
      </c>
      <c r="C223">
        <v>2.517094017094017</v>
      </c>
      <c r="D223">
        <v>0.85748854042622236</v>
      </c>
    </row>
    <row r="224" spans="1:4" x14ac:dyDescent="0.4">
      <c r="A224">
        <v>199</v>
      </c>
      <c r="B224">
        <v>12.482905982905983</v>
      </c>
      <c r="C224">
        <v>-0.48290598290598297</v>
      </c>
      <c r="D224">
        <v>-0.16450968602404609</v>
      </c>
    </row>
    <row r="225" spans="1:4" x14ac:dyDescent="0.4">
      <c r="A225">
        <v>200</v>
      </c>
      <c r="B225">
        <v>12.482905982905983</v>
      </c>
      <c r="C225">
        <v>-1.482905982905983</v>
      </c>
      <c r="D225">
        <v>-0.5051757615074689</v>
      </c>
    </row>
    <row r="226" spans="1:4" x14ac:dyDescent="0.4">
      <c r="A226">
        <v>201</v>
      </c>
      <c r="B226">
        <v>12.482905982905983</v>
      </c>
      <c r="C226">
        <v>2.517094017094017</v>
      </c>
      <c r="D226">
        <v>0.85748854042622236</v>
      </c>
    </row>
    <row r="227" spans="1:4" x14ac:dyDescent="0.4">
      <c r="A227">
        <v>202</v>
      </c>
      <c r="B227">
        <v>9.4666666666666632</v>
      </c>
      <c r="C227">
        <v>1.5333333333333368</v>
      </c>
      <c r="D227">
        <v>0.52235464907458284</v>
      </c>
    </row>
    <row r="228" spans="1:4" x14ac:dyDescent="0.4">
      <c r="A228">
        <v>203</v>
      </c>
      <c r="B228">
        <v>12.482905982905983</v>
      </c>
      <c r="C228">
        <v>-2.482905982905983</v>
      </c>
      <c r="D228">
        <v>-0.84584183699089177</v>
      </c>
    </row>
    <row r="229" spans="1:4" x14ac:dyDescent="0.4">
      <c r="A229">
        <v>204</v>
      </c>
      <c r="B229">
        <v>12.482905982905983</v>
      </c>
      <c r="C229">
        <v>1.517094017094017</v>
      </c>
      <c r="D229">
        <v>0.5168224649427996</v>
      </c>
    </row>
    <row r="230" spans="1:4" x14ac:dyDescent="0.4">
      <c r="A230">
        <v>205</v>
      </c>
      <c r="B230">
        <v>12.482905982905983</v>
      </c>
      <c r="C230">
        <v>-4.482905982905983</v>
      </c>
      <c r="D230">
        <v>-1.5271739879577375</v>
      </c>
    </row>
    <row r="231" spans="1:4" x14ac:dyDescent="0.4">
      <c r="A231">
        <v>206</v>
      </c>
      <c r="B231">
        <v>12.482905982905983</v>
      </c>
      <c r="C231">
        <v>5.517094017094017</v>
      </c>
      <c r="D231">
        <v>1.879486766876491</v>
      </c>
    </row>
    <row r="232" spans="1:4" x14ac:dyDescent="0.4">
      <c r="A232">
        <v>207</v>
      </c>
      <c r="B232">
        <v>12.482905982905983</v>
      </c>
      <c r="C232">
        <v>2.517094017094017</v>
      </c>
      <c r="D232">
        <v>0.85748854042622236</v>
      </c>
    </row>
    <row r="233" spans="1:4" x14ac:dyDescent="0.4">
      <c r="A233">
        <v>208</v>
      </c>
      <c r="B233">
        <v>9.4666666666666632</v>
      </c>
      <c r="C233">
        <v>-0.46666666666666323</v>
      </c>
      <c r="D233">
        <v>-0.15897750189226281</v>
      </c>
    </row>
    <row r="234" spans="1:4" x14ac:dyDescent="0.4">
      <c r="A234">
        <v>209</v>
      </c>
      <c r="B234">
        <v>11.342857142857143</v>
      </c>
      <c r="C234">
        <v>1.6571428571428566</v>
      </c>
      <c r="D234">
        <v>0.56453235365824339</v>
      </c>
    </row>
    <row r="235" spans="1:4" x14ac:dyDescent="0.4">
      <c r="A235">
        <v>210</v>
      </c>
      <c r="B235">
        <v>12.482905982905983</v>
      </c>
      <c r="C235">
        <v>1.517094017094017</v>
      </c>
      <c r="D235">
        <v>0.5168224649427996</v>
      </c>
    </row>
    <row r="236" spans="1:4" x14ac:dyDescent="0.4">
      <c r="A236">
        <v>211</v>
      </c>
      <c r="B236">
        <v>12.482905982905983</v>
      </c>
      <c r="C236">
        <v>-0.48290598290598297</v>
      </c>
      <c r="D236">
        <v>-0.16450968602404609</v>
      </c>
    </row>
    <row r="237" spans="1:4" x14ac:dyDescent="0.4">
      <c r="A237">
        <v>212</v>
      </c>
      <c r="B237">
        <v>12.482905982905983</v>
      </c>
      <c r="C237">
        <v>-1.482905982905983</v>
      </c>
      <c r="D237">
        <v>-0.5051757615074689</v>
      </c>
    </row>
    <row r="238" spans="1:4" x14ac:dyDescent="0.4">
      <c r="A238">
        <v>213</v>
      </c>
      <c r="B238">
        <v>12.482905982905983</v>
      </c>
      <c r="C238">
        <v>-2.482905982905983</v>
      </c>
      <c r="D238">
        <v>-0.84584183699089177</v>
      </c>
    </row>
    <row r="239" spans="1:4" x14ac:dyDescent="0.4">
      <c r="A239">
        <v>214</v>
      </c>
      <c r="B239">
        <v>12.482905982905983</v>
      </c>
      <c r="C239">
        <v>2.517094017094017</v>
      </c>
      <c r="D239">
        <v>0.85748854042622236</v>
      </c>
    </row>
    <row r="240" spans="1:4" x14ac:dyDescent="0.4">
      <c r="A240">
        <v>215</v>
      </c>
      <c r="B240">
        <v>12.482905982905983</v>
      </c>
      <c r="C240">
        <v>0.51709401709401703</v>
      </c>
      <c r="D240">
        <v>0.17615638945937673</v>
      </c>
    </row>
    <row r="241" spans="1:4" x14ac:dyDescent="0.4">
      <c r="A241">
        <v>216</v>
      </c>
      <c r="B241">
        <v>9.4666666666666632</v>
      </c>
      <c r="C241">
        <v>0.53333333333333677</v>
      </c>
      <c r="D241">
        <v>0.18168857359116</v>
      </c>
    </row>
    <row r="242" spans="1:4" x14ac:dyDescent="0.4">
      <c r="A242">
        <v>217</v>
      </c>
      <c r="B242">
        <v>12.482905982905983</v>
      </c>
      <c r="C242">
        <v>0.51709401709401703</v>
      </c>
      <c r="D242">
        <v>0.17615638945937673</v>
      </c>
    </row>
    <row r="243" spans="1:4" x14ac:dyDescent="0.4">
      <c r="A243">
        <v>218</v>
      </c>
      <c r="B243">
        <v>12.482905982905983</v>
      </c>
      <c r="C243">
        <v>3.517094017094017</v>
      </c>
      <c r="D243">
        <v>1.1981546159096452</v>
      </c>
    </row>
    <row r="244" spans="1:4" x14ac:dyDescent="0.4">
      <c r="A244">
        <v>219</v>
      </c>
      <c r="B244">
        <v>12.482905982905983</v>
      </c>
      <c r="C244">
        <v>-1.482905982905983</v>
      </c>
      <c r="D244">
        <v>-0.5051757615074689</v>
      </c>
    </row>
    <row r="245" spans="1:4" x14ac:dyDescent="0.4">
      <c r="A245">
        <v>220</v>
      </c>
      <c r="B245">
        <v>12.482905982905983</v>
      </c>
      <c r="C245">
        <v>-12.482905982905983</v>
      </c>
      <c r="D245">
        <v>-4.2525025918251202</v>
      </c>
    </row>
    <row r="246" spans="1:4" x14ac:dyDescent="0.4">
      <c r="A246">
        <v>221</v>
      </c>
      <c r="B246">
        <v>12.482905982905983</v>
      </c>
      <c r="C246">
        <v>-2.482905982905983</v>
      </c>
      <c r="D246">
        <v>-0.84584183699089177</v>
      </c>
    </row>
    <row r="247" spans="1:4" x14ac:dyDescent="0.4">
      <c r="A247">
        <v>222</v>
      </c>
      <c r="B247">
        <v>9.4666666666666632</v>
      </c>
      <c r="C247">
        <v>-1.4666666666666632</v>
      </c>
      <c r="D247">
        <v>-0.49964357737568565</v>
      </c>
    </row>
    <row r="248" spans="1:4" x14ac:dyDescent="0.4">
      <c r="A248">
        <v>223</v>
      </c>
      <c r="B248">
        <v>12.482905982905983</v>
      </c>
      <c r="C248">
        <v>4.517094017094017</v>
      </c>
      <c r="D248">
        <v>1.538820691393068</v>
      </c>
    </row>
    <row r="249" spans="1:4" x14ac:dyDescent="0.4">
      <c r="A249">
        <v>224</v>
      </c>
      <c r="B249">
        <v>12.482905982905983</v>
      </c>
      <c r="C249">
        <v>3.517094017094017</v>
      </c>
      <c r="D249">
        <v>1.1981546159096452</v>
      </c>
    </row>
    <row r="250" spans="1:4" x14ac:dyDescent="0.4">
      <c r="A250">
        <v>225</v>
      </c>
      <c r="B250">
        <v>12.482905982905983</v>
      </c>
      <c r="C250">
        <v>-1.482905982905983</v>
      </c>
      <c r="D250">
        <v>-0.5051757615074689</v>
      </c>
    </row>
    <row r="251" spans="1:4" x14ac:dyDescent="0.4">
      <c r="A251">
        <v>226</v>
      </c>
      <c r="B251">
        <v>12.482905982905983</v>
      </c>
      <c r="C251">
        <v>2.517094017094017</v>
      </c>
      <c r="D251">
        <v>0.85748854042622236</v>
      </c>
    </row>
    <row r="252" spans="1:4" x14ac:dyDescent="0.4">
      <c r="A252">
        <v>227</v>
      </c>
      <c r="B252">
        <v>9.4666666666666632</v>
      </c>
      <c r="C252">
        <v>-1.4666666666666632</v>
      </c>
      <c r="D252">
        <v>-0.49964357737568565</v>
      </c>
    </row>
    <row r="253" spans="1:4" x14ac:dyDescent="0.4">
      <c r="A253">
        <v>228</v>
      </c>
      <c r="B253">
        <v>12.482905982905983</v>
      </c>
      <c r="C253">
        <v>-3.482905982905983</v>
      </c>
      <c r="D253">
        <v>-1.1865079124743145</v>
      </c>
    </row>
    <row r="254" spans="1:4" x14ac:dyDescent="0.4">
      <c r="A254">
        <v>229</v>
      </c>
      <c r="B254">
        <v>12.482905982905983</v>
      </c>
      <c r="C254">
        <v>0.51709401709401703</v>
      </c>
      <c r="D254">
        <v>0.17615638945937673</v>
      </c>
    </row>
    <row r="255" spans="1:4" x14ac:dyDescent="0.4">
      <c r="A255">
        <v>230</v>
      </c>
      <c r="B255">
        <v>12.482905982905983</v>
      </c>
      <c r="C255">
        <v>4.517094017094017</v>
      </c>
      <c r="D255">
        <v>1.538820691393068</v>
      </c>
    </row>
    <row r="256" spans="1:4" x14ac:dyDescent="0.4">
      <c r="A256">
        <v>231</v>
      </c>
      <c r="B256">
        <v>9.4666666666666632</v>
      </c>
      <c r="C256">
        <v>3.5333333333333368</v>
      </c>
      <c r="D256">
        <v>1.2036868000414285</v>
      </c>
    </row>
    <row r="257" spans="1:4" x14ac:dyDescent="0.4">
      <c r="A257">
        <v>232</v>
      </c>
      <c r="B257">
        <v>12.482905982905983</v>
      </c>
      <c r="C257">
        <v>-1.482905982905983</v>
      </c>
      <c r="D257">
        <v>-0.5051757615074689</v>
      </c>
    </row>
    <row r="258" spans="1:4" x14ac:dyDescent="0.4">
      <c r="A258">
        <v>233</v>
      </c>
      <c r="B258">
        <v>12.482905982905983</v>
      </c>
      <c r="C258">
        <v>-0.48290598290598297</v>
      </c>
      <c r="D258">
        <v>-0.16450968602404609</v>
      </c>
    </row>
    <row r="259" spans="1:4" x14ac:dyDescent="0.4">
      <c r="A259">
        <v>234</v>
      </c>
      <c r="B259">
        <v>12.482905982905983</v>
      </c>
      <c r="C259">
        <v>4.517094017094017</v>
      </c>
      <c r="D259">
        <v>1.538820691393068</v>
      </c>
    </row>
    <row r="260" spans="1:4" x14ac:dyDescent="0.4">
      <c r="A260">
        <v>235</v>
      </c>
      <c r="B260">
        <v>12.482905982905983</v>
      </c>
      <c r="C260">
        <v>-3.482905982905983</v>
      </c>
      <c r="D260">
        <v>-1.1865079124743145</v>
      </c>
    </row>
    <row r="261" spans="1:4" x14ac:dyDescent="0.4">
      <c r="A261">
        <v>236</v>
      </c>
      <c r="B261">
        <v>12.482905982905983</v>
      </c>
      <c r="C261">
        <v>2.517094017094017</v>
      </c>
      <c r="D261">
        <v>0.85748854042622236</v>
      </c>
    </row>
    <row r="262" spans="1:4" x14ac:dyDescent="0.4">
      <c r="A262">
        <v>237</v>
      </c>
      <c r="B262">
        <v>9.4666666666666632</v>
      </c>
      <c r="C262">
        <v>-1.4666666666666632</v>
      </c>
      <c r="D262">
        <v>-0.49964357737568565</v>
      </c>
    </row>
    <row r="263" spans="1:4" x14ac:dyDescent="0.4">
      <c r="A263">
        <v>238</v>
      </c>
      <c r="B263">
        <v>12.482905982905983</v>
      </c>
      <c r="C263">
        <v>-2.482905982905983</v>
      </c>
      <c r="D263">
        <v>-0.84584183699089177</v>
      </c>
    </row>
    <row r="264" spans="1:4" x14ac:dyDescent="0.4">
      <c r="A264">
        <v>239</v>
      </c>
      <c r="B264">
        <v>12.482905982905983</v>
      </c>
      <c r="C264">
        <v>2.517094017094017</v>
      </c>
      <c r="D264">
        <v>0.85748854042622236</v>
      </c>
    </row>
    <row r="265" spans="1:4" x14ac:dyDescent="0.4">
      <c r="A265">
        <v>240</v>
      </c>
      <c r="B265">
        <v>11.342857142857143</v>
      </c>
      <c r="C265">
        <v>-1.3428571428571434</v>
      </c>
      <c r="D265">
        <v>-0.45746587279202511</v>
      </c>
    </row>
    <row r="266" spans="1:4" x14ac:dyDescent="0.4">
      <c r="A266">
        <v>241</v>
      </c>
      <c r="B266">
        <v>12.482905982905983</v>
      </c>
      <c r="C266">
        <v>-1.482905982905983</v>
      </c>
      <c r="D266">
        <v>-0.5051757615074689</v>
      </c>
    </row>
    <row r="267" spans="1:4" x14ac:dyDescent="0.4">
      <c r="A267">
        <v>242</v>
      </c>
      <c r="B267">
        <v>12.482905982905983</v>
      </c>
      <c r="C267">
        <v>4.517094017094017</v>
      </c>
      <c r="D267">
        <v>1.538820691393068</v>
      </c>
    </row>
    <row r="268" spans="1:4" x14ac:dyDescent="0.4">
      <c r="A268">
        <v>243</v>
      </c>
      <c r="B268">
        <v>12.482905982905983</v>
      </c>
      <c r="C268">
        <v>-2.482905982905983</v>
      </c>
      <c r="D268">
        <v>-0.84584183699089177</v>
      </c>
    </row>
    <row r="269" spans="1:4" x14ac:dyDescent="0.4">
      <c r="A269">
        <v>244</v>
      </c>
      <c r="B269">
        <v>12.482905982905983</v>
      </c>
      <c r="C269">
        <v>-0.48290598290598297</v>
      </c>
      <c r="D269">
        <v>-0.16450968602404609</v>
      </c>
    </row>
    <row r="270" spans="1:4" x14ac:dyDescent="0.4">
      <c r="A270">
        <v>245</v>
      </c>
      <c r="B270">
        <v>12.482905982905983</v>
      </c>
      <c r="C270">
        <v>-0.48290598290598297</v>
      </c>
      <c r="D270">
        <v>-0.16450968602404609</v>
      </c>
    </row>
    <row r="271" spans="1:4" x14ac:dyDescent="0.4">
      <c r="A271">
        <v>246</v>
      </c>
      <c r="B271">
        <v>12.482905982905983</v>
      </c>
      <c r="C271">
        <v>1.517094017094017</v>
      </c>
      <c r="D271">
        <v>0.5168224649427996</v>
      </c>
    </row>
    <row r="272" spans="1:4" x14ac:dyDescent="0.4">
      <c r="A272">
        <v>247</v>
      </c>
      <c r="B272">
        <v>12.482905982905983</v>
      </c>
      <c r="C272">
        <v>-1.482905982905983</v>
      </c>
      <c r="D272">
        <v>-0.5051757615074689</v>
      </c>
    </row>
    <row r="273" spans="1:4" x14ac:dyDescent="0.4">
      <c r="A273">
        <v>248</v>
      </c>
      <c r="B273">
        <v>12.482905982905983</v>
      </c>
      <c r="C273">
        <v>2.517094017094017</v>
      </c>
      <c r="D273">
        <v>0.85748854042622236</v>
      </c>
    </row>
    <row r="274" spans="1:4" x14ac:dyDescent="0.4">
      <c r="A274">
        <v>249</v>
      </c>
      <c r="B274">
        <v>12.482905982905983</v>
      </c>
      <c r="C274">
        <v>2.517094017094017</v>
      </c>
      <c r="D274">
        <v>0.85748854042622236</v>
      </c>
    </row>
    <row r="275" spans="1:4" x14ac:dyDescent="0.4">
      <c r="A275">
        <v>250</v>
      </c>
      <c r="B275">
        <v>12.482905982905983</v>
      </c>
      <c r="C275">
        <v>-4.482905982905983</v>
      </c>
      <c r="D275">
        <v>-1.5271739879577375</v>
      </c>
    </row>
    <row r="276" spans="1:4" x14ac:dyDescent="0.4">
      <c r="A276">
        <v>251</v>
      </c>
      <c r="B276">
        <v>11.342857142857143</v>
      </c>
      <c r="C276">
        <v>-0.34285714285714342</v>
      </c>
      <c r="D276">
        <v>-0.11679979730860231</v>
      </c>
    </row>
    <row r="277" spans="1:4" x14ac:dyDescent="0.4">
      <c r="A277">
        <v>252</v>
      </c>
      <c r="B277">
        <v>9.4666666666666632</v>
      </c>
      <c r="C277">
        <v>-2.4666666666666632</v>
      </c>
      <c r="D277">
        <v>-0.84030965285910852</v>
      </c>
    </row>
    <row r="278" spans="1:4" x14ac:dyDescent="0.4">
      <c r="A278">
        <v>253</v>
      </c>
      <c r="B278">
        <v>12.482905982905983</v>
      </c>
      <c r="C278">
        <v>1.517094017094017</v>
      </c>
      <c r="D278">
        <v>0.5168224649427996</v>
      </c>
    </row>
    <row r="279" spans="1:4" x14ac:dyDescent="0.4">
      <c r="A279">
        <v>254</v>
      </c>
      <c r="B279">
        <v>12.482905982905983</v>
      </c>
      <c r="C279">
        <v>-0.48290598290598297</v>
      </c>
      <c r="D279">
        <v>-0.16450968602404609</v>
      </c>
    </row>
    <row r="280" spans="1:4" x14ac:dyDescent="0.4">
      <c r="A280">
        <v>255</v>
      </c>
      <c r="B280">
        <v>9.4666666666666632</v>
      </c>
      <c r="C280">
        <v>-2.4666666666666632</v>
      </c>
      <c r="D280">
        <v>-0.84030965285910852</v>
      </c>
    </row>
    <row r="281" spans="1:4" x14ac:dyDescent="0.4">
      <c r="A281">
        <v>256</v>
      </c>
      <c r="B281">
        <v>12.482905982905983</v>
      </c>
      <c r="C281">
        <v>0.51709401709401703</v>
      </c>
      <c r="D281">
        <v>0.17615638945937673</v>
      </c>
    </row>
    <row r="282" spans="1:4" x14ac:dyDescent="0.4">
      <c r="A282">
        <v>257</v>
      </c>
      <c r="B282">
        <v>12.482905982905983</v>
      </c>
      <c r="C282">
        <v>3.517094017094017</v>
      </c>
      <c r="D282">
        <v>1.1981546159096452</v>
      </c>
    </row>
    <row r="283" spans="1:4" x14ac:dyDescent="0.4">
      <c r="A283">
        <v>258</v>
      </c>
      <c r="B283">
        <v>11.342857142857143</v>
      </c>
      <c r="C283">
        <v>-3.3428571428571434</v>
      </c>
      <c r="D283">
        <v>-1.1387980237588708</v>
      </c>
    </row>
    <row r="284" spans="1:4" x14ac:dyDescent="0.4">
      <c r="A284">
        <v>259</v>
      </c>
      <c r="B284">
        <v>12.482905982905983</v>
      </c>
      <c r="C284">
        <v>2.517094017094017</v>
      </c>
      <c r="D284">
        <v>0.85748854042622236</v>
      </c>
    </row>
    <row r="285" spans="1:4" x14ac:dyDescent="0.4">
      <c r="A285">
        <v>260</v>
      </c>
      <c r="B285">
        <v>12.482905982905983</v>
      </c>
      <c r="C285">
        <v>0.51709401709401703</v>
      </c>
      <c r="D285">
        <v>0.17615638945937673</v>
      </c>
    </row>
    <row r="286" spans="1:4" x14ac:dyDescent="0.4">
      <c r="A286">
        <v>261</v>
      </c>
      <c r="B286">
        <v>12.482905982905983</v>
      </c>
      <c r="C286">
        <v>1.517094017094017</v>
      </c>
      <c r="D286">
        <v>0.5168224649427996</v>
      </c>
    </row>
    <row r="287" spans="1:4" x14ac:dyDescent="0.4">
      <c r="A287">
        <v>262</v>
      </c>
      <c r="B287">
        <v>12.482905982905983</v>
      </c>
      <c r="C287">
        <v>2.517094017094017</v>
      </c>
      <c r="D287">
        <v>0.85748854042622236</v>
      </c>
    </row>
    <row r="288" spans="1:4" x14ac:dyDescent="0.4">
      <c r="A288">
        <v>263</v>
      </c>
      <c r="B288">
        <v>9.4666666666666632</v>
      </c>
      <c r="C288">
        <v>1.5333333333333368</v>
      </c>
      <c r="D288">
        <v>0.52235464907458284</v>
      </c>
    </row>
    <row r="289" spans="1:4" x14ac:dyDescent="0.4">
      <c r="A289">
        <v>264</v>
      </c>
      <c r="B289">
        <v>12.482905982905983</v>
      </c>
      <c r="C289">
        <v>0.51709401709401703</v>
      </c>
      <c r="D289">
        <v>0.17615638945937673</v>
      </c>
    </row>
    <row r="290" spans="1:4" x14ac:dyDescent="0.4">
      <c r="A290">
        <v>265</v>
      </c>
      <c r="B290">
        <v>11.342857142857143</v>
      </c>
      <c r="C290">
        <v>-0.34285714285714342</v>
      </c>
      <c r="D290">
        <v>-0.11679979730860231</v>
      </c>
    </row>
    <row r="291" spans="1:4" x14ac:dyDescent="0.4">
      <c r="A291">
        <v>266</v>
      </c>
      <c r="B291">
        <v>12.482905982905983</v>
      </c>
      <c r="C291">
        <v>-0.48290598290598297</v>
      </c>
      <c r="D291">
        <v>-0.16450968602404609</v>
      </c>
    </row>
    <row r="292" spans="1:4" x14ac:dyDescent="0.4">
      <c r="A292">
        <v>267</v>
      </c>
      <c r="B292">
        <v>12.482905982905983</v>
      </c>
      <c r="C292">
        <v>3.517094017094017</v>
      </c>
      <c r="D292">
        <v>1.1981546159096452</v>
      </c>
    </row>
    <row r="293" spans="1:4" x14ac:dyDescent="0.4">
      <c r="A293">
        <v>268</v>
      </c>
      <c r="B293">
        <v>12.482905982905983</v>
      </c>
      <c r="C293">
        <v>0.51709401709401703</v>
      </c>
      <c r="D293">
        <v>0.17615638945937673</v>
      </c>
    </row>
    <row r="294" spans="1:4" x14ac:dyDescent="0.4">
      <c r="A294">
        <v>269</v>
      </c>
      <c r="B294">
        <v>12.482905982905983</v>
      </c>
      <c r="C294">
        <v>-3.482905982905983</v>
      </c>
      <c r="D294">
        <v>-1.1865079124743145</v>
      </c>
    </row>
    <row r="295" spans="1:4" x14ac:dyDescent="0.4">
      <c r="A295">
        <v>270</v>
      </c>
      <c r="B295">
        <v>9.4666666666666632</v>
      </c>
      <c r="C295">
        <v>-1.4666666666666632</v>
      </c>
      <c r="D295">
        <v>-0.49964357737568565</v>
      </c>
    </row>
    <row r="296" spans="1:4" x14ac:dyDescent="0.4">
      <c r="A296">
        <v>271</v>
      </c>
      <c r="B296">
        <v>11.342857142857143</v>
      </c>
      <c r="C296">
        <v>1.6571428571428566</v>
      </c>
      <c r="D296">
        <v>0.56453235365824339</v>
      </c>
    </row>
    <row r="297" spans="1:4" x14ac:dyDescent="0.4">
      <c r="A297">
        <v>272</v>
      </c>
      <c r="B297">
        <v>12.482905982905983</v>
      </c>
      <c r="C297">
        <v>-1.482905982905983</v>
      </c>
      <c r="D297">
        <v>-0.5051757615074689</v>
      </c>
    </row>
    <row r="298" spans="1:4" x14ac:dyDescent="0.4">
      <c r="A298">
        <v>273</v>
      </c>
      <c r="B298">
        <v>12.482905982905983</v>
      </c>
      <c r="C298">
        <v>-4.482905982905983</v>
      </c>
      <c r="D298">
        <v>-1.5271739879577375</v>
      </c>
    </row>
    <row r="299" spans="1:4" x14ac:dyDescent="0.4">
      <c r="A299">
        <v>274</v>
      </c>
      <c r="B299">
        <v>12.482905982905983</v>
      </c>
      <c r="C299">
        <v>-1.482905982905983</v>
      </c>
      <c r="D299">
        <v>-0.5051757615074689</v>
      </c>
    </row>
    <row r="300" spans="1:4" x14ac:dyDescent="0.4">
      <c r="A300">
        <v>275</v>
      </c>
      <c r="B300">
        <v>11.342857142857143</v>
      </c>
      <c r="C300">
        <v>-1.3428571428571434</v>
      </c>
      <c r="D300">
        <v>-0.45746587279202511</v>
      </c>
    </row>
    <row r="301" spans="1:4" x14ac:dyDescent="0.4">
      <c r="A301">
        <v>276</v>
      </c>
      <c r="B301">
        <v>12.482905982905983</v>
      </c>
      <c r="C301">
        <v>1.517094017094017</v>
      </c>
      <c r="D301">
        <v>0.5168224649427996</v>
      </c>
    </row>
    <row r="302" spans="1:4" x14ac:dyDescent="0.4">
      <c r="A302">
        <v>277</v>
      </c>
      <c r="B302">
        <v>12.482905982905983</v>
      </c>
      <c r="C302">
        <v>3.517094017094017</v>
      </c>
      <c r="D302">
        <v>1.1981546159096452</v>
      </c>
    </row>
    <row r="303" spans="1:4" x14ac:dyDescent="0.4">
      <c r="A303">
        <v>278</v>
      </c>
      <c r="B303">
        <v>9.4666666666666632</v>
      </c>
      <c r="C303">
        <v>-0.46666666666666323</v>
      </c>
      <c r="D303">
        <v>-0.15897750189226281</v>
      </c>
    </row>
    <row r="304" spans="1:4" x14ac:dyDescent="0.4">
      <c r="A304">
        <v>279</v>
      </c>
      <c r="B304">
        <v>9.4666666666666632</v>
      </c>
      <c r="C304">
        <v>0.53333333333333677</v>
      </c>
      <c r="D304">
        <v>0.18168857359116</v>
      </c>
    </row>
    <row r="305" spans="1:4" x14ac:dyDescent="0.4">
      <c r="A305">
        <v>280</v>
      </c>
      <c r="B305">
        <v>12.482905982905983</v>
      </c>
      <c r="C305">
        <v>1.517094017094017</v>
      </c>
      <c r="D305">
        <v>0.5168224649427996</v>
      </c>
    </row>
    <row r="306" spans="1:4" x14ac:dyDescent="0.4">
      <c r="A306">
        <v>281</v>
      </c>
      <c r="B306">
        <v>12.482905982905983</v>
      </c>
      <c r="C306">
        <v>3.517094017094017</v>
      </c>
      <c r="D306">
        <v>1.1981546159096452</v>
      </c>
    </row>
    <row r="307" spans="1:4" x14ac:dyDescent="0.4">
      <c r="A307">
        <v>282</v>
      </c>
      <c r="B307">
        <v>12.482905982905983</v>
      </c>
      <c r="C307">
        <v>3.517094017094017</v>
      </c>
      <c r="D307">
        <v>1.1981546159096452</v>
      </c>
    </row>
    <row r="308" spans="1:4" x14ac:dyDescent="0.4">
      <c r="A308">
        <v>283</v>
      </c>
      <c r="B308">
        <v>12.482905982905983</v>
      </c>
      <c r="C308">
        <v>-4.482905982905983</v>
      </c>
      <c r="D308">
        <v>-1.5271739879577375</v>
      </c>
    </row>
    <row r="309" spans="1:4" x14ac:dyDescent="0.4">
      <c r="A309">
        <v>284</v>
      </c>
      <c r="B309">
        <v>12.482905982905983</v>
      </c>
      <c r="C309">
        <v>-1.482905982905983</v>
      </c>
      <c r="D309">
        <v>-0.5051757615074689</v>
      </c>
    </row>
    <row r="310" spans="1:4" x14ac:dyDescent="0.4">
      <c r="A310">
        <v>285</v>
      </c>
      <c r="B310">
        <v>12.482905982905983</v>
      </c>
      <c r="C310">
        <v>1.517094017094017</v>
      </c>
      <c r="D310">
        <v>0.5168224649427996</v>
      </c>
    </row>
    <row r="311" spans="1:4" x14ac:dyDescent="0.4">
      <c r="A311">
        <v>286</v>
      </c>
      <c r="B311">
        <v>12.482905982905983</v>
      </c>
      <c r="C311">
        <v>-2.482905982905983</v>
      </c>
      <c r="D311">
        <v>-0.84584183699089177</v>
      </c>
    </row>
    <row r="312" spans="1:4" x14ac:dyDescent="0.4">
      <c r="A312">
        <v>287</v>
      </c>
      <c r="B312">
        <v>9.4666666666666632</v>
      </c>
      <c r="C312">
        <v>1.5333333333333368</v>
      </c>
      <c r="D312">
        <v>0.52235464907458284</v>
      </c>
    </row>
    <row r="313" spans="1:4" x14ac:dyDescent="0.4">
      <c r="A313">
        <v>288</v>
      </c>
      <c r="B313">
        <v>12.482905982905983</v>
      </c>
      <c r="C313">
        <v>-1.482905982905983</v>
      </c>
      <c r="D313">
        <v>-0.5051757615074689</v>
      </c>
    </row>
    <row r="314" spans="1:4" x14ac:dyDescent="0.4">
      <c r="A314">
        <v>289</v>
      </c>
      <c r="B314">
        <v>12.482905982905983</v>
      </c>
      <c r="C314">
        <v>1.517094017094017</v>
      </c>
      <c r="D314">
        <v>0.5168224649427996</v>
      </c>
    </row>
    <row r="315" spans="1:4" x14ac:dyDescent="0.4">
      <c r="A315">
        <v>290</v>
      </c>
      <c r="B315">
        <v>12.482905982905983</v>
      </c>
      <c r="C315">
        <v>1.517094017094017</v>
      </c>
      <c r="D315">
        <v>0.5168224649427996</v>
      </c>
    </row>
    <row r="316" spans="1:4" x14ac:dyDescent="0.4">
      <c r="A316">
        <v>291</v>
      </c>
      <c r="B316">
        <v>11.342857142857143</v>
      </c>
      <c r="C316">
        <v>1.6571428571428566</v>
      </c>
      <c r="D316">
        <v>0.56453235365824339</v>
      </c>
    </row>
    <row r="317" spans="1:4" x14ac:dyDescent="0.4">
      <c r="A317">
        <v>292</v>
      </c>
      <c r="B317">
        <v>12.482905982905983</v>
      </c>
      <c r="C317">
        <v>-0.48290598290598297</v>
      </c>
      <c r="D317">
        <v>-0.16450968602404609</v>
      </c>
    </row>
    <row r="318" spans="1:4" x14ac:dyDescent="0.4">
      <c r="A318">
        <v>293</v>
      </c>
      <c r="B318">
        <v>11.342857142857143</v>
      </c>
      <c r="C318">
        <v>-1.3428571428571434</v>
      </c>
      <c r="D318">
        <v>-0.45746587279202511</v>
      </c>
    </row>
    <row r="319" spans="1:4" x14ac:dyDescent="0.4">
      <c r="A319">
        <v>294</v>
      </c>
      <c r="B319">
        <v>12.482905982905983</v>
      </c>
      <c r="C319">
        <v>1.517094017094017</v>
      </c>
      <c r="D319">
        <v>0.5168224649427996</v>
      </c>
    </row>
    <row r="320" spans="1:4" x14ac:dyDescent="0.4">
      <c r="A320">
        <v>295</v>
      </c>
      <c r="B320">
        <v>12.482905982905983</v>
      </c>
      <c r="C320">
        <v>-0.48290598290598297</v>
      </c>
      <c r="D320">
        <v>-0.16450968602404609</v>
      </c>
    </row>
    <row r="321" spans="1:4" x14ac:dyDescent="0.4">
      <c r="A321">
        <v>296</v>
      </c>
      <c r="B321">
        <v>12.482905982905983</v>
      </c>
      <c r="C321">
        <v>-1.482905982905983</v>
      </c>
      <c r="D321">
        <v>-0.5051757615074689</v>
      </c>
    </row>
    <row r="322" spans="1:4" x14ac:dyDescent="0.4">
      <c r="A322">
        <v>297</v>
      </c>
      <c r="B322">
        <v>12.482905982905983</v>
      </c>
      <c r="C322">
        <v>-0.48290598290598297</v>
      </c>
      <c r="D322">
        <v>-0.16450968602404609</v>
      </c>
    </row>
    <row r="323" spans="1:4" x14ac:dyDescent="0.4">
      <c r="A323">
        <v>298</v>
      </c>
      <c r="B323">
        <v>12.482905982905983</v>
      </c>
      <c r="C323">
        <v>-1.482905982905983</v>
      </c>
      <c r="D323">
        <v>-0.5051757615074689</v>
      </c>
    </row>
    <row r="324" spans="1:4" ht="16.5" thickBot="1" x14ac:dyDescent="0.45">
      <c r="A324" s="4">
        <v>299</v>
      </c>
      <c r="B324" s="4">
        <v>12.482905982905983</v>
      </c>
      <c r="C324" s="4">
        <v>-12.482905982905983</v>
      </c>
      <c r="D324" s="4">
        <v>-4.2525025918251202</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D3DB9-C7F5-43B7-BE21-812F329ECFEA}">
  <dimension ref="A1:H159"/>
  <sheetViews>
    <sheetView topLeftCell="A129" workbookViewId="0">
      <selection activeCell="K25" sqref="K25"/>
    </sheetView>
  </sheetViews>
  <sheetFormatPr defaultColWidth="8.83203125" defaultRowHeight="16" x14ac:dyDescent="0.4"/>
  <cols>
    <col min="1" max="1" width="20.33203125" bestFit="1" customWidth="1"/>
    <col min="2" max="2" width="12.33203125" bestFit="1" customWidth="1"/>
    <col min="3" max="3" width="12.6640625" bestFit="1" customWidth="1"/>
    <col min="4" max="5" width="10.6640625" bestFit="1" customWidth="1"/>
    <col min="6" max="8" width="12.33203125" bestFit="1" customWidth="1"/>
  </cols>
  <sheetData>
    <row r="1" spans="1:8" x14ac:dyDescent="0.4">
      <c r="A1" t="s">
        <v>736</v>
      </c>
    </row>
    <row r="3" spans="1:8" x14ac:dyDescent="0.4">
      <c r="A3" s="5" t="s">
        <v>737</v>
      </c>
      <c r="B3" s="5"/>
    </row>
    <row r="4" spans="1:8" x14ac:dyDescent="0.4">
      <c r="A4" t="s">
        <v>738</v>
      </c>
      <c r="B4">
        <v>0.31518609508334738</v>
      </c>
    </row>
    <row r="5" spans="1:8" x14ac:dyDescent="0.4">
      <c r="A5" t="s">
        <v>739</v>
      </c>
      <c r="B5">
        <v>9.93422745338889E-2</v>
      </c>
    </row>
    <row r="6" spans="1:8" x14ac:dyDescent="0.4">
      <c r="A6" t="s">
        <v>740</v>
      </c>
      <c r="B6">
        <v>7.7676968423020243E-2</v>
      </c>
    </row>
    <row r="7" spans="1:8" x14ac:dyDescent="0.4">
      <c r="A7" t="s">
        <v>711</v>
      </c>
      <c r="B7">
        <v>2.9592135607545842</v>
      </c>
    </row>
    <row r="8" spans="1:8" x14ac:dyDescent="0.4">
      <c r="A8" s="4" t="s">
        <v>728</v>
      </c>
      <c r="B8" s="4">
        <v>299</v>
      </c>
    </row>
    <row r="10" spans="1:8" x14ac:dyDescent="0.4">
      <c r="A10" t="s">
        <v>741</v>
      </c>
    </row>
    <row r="11" spans="1:8" x14ac:dyDescent="0.4">
      <c r="A11" s="7"/>
      <c r="B11" s="7" t="s">
        <v>730</v>
      </c>
      <c r="C11" s="7" t="s">
        <v>742</v>
      </c>
      <c r="D11" s="7" t="s">
        <v>50</v>
      </c>
      <c r="E11" s="7" t="s">
        <v>743</v>
      </c>
    </row>
    <row r="12" spans="1:8" x14ac:dyDescent="0.4">
      <c r="A12" t="s">
        <v>744</v>
      </c>
      <c r="B12">
        <v>7</v>
      </c>
      <c r="C12">
        <v>281.07351624258172</v>
      </c>
      <c r="D12">
        <v>40.153359463225961</v>
      </c>
      <c r="E12">
        <v>4.5853159897912867</v>
      </c>
    </row>
    <row r="13" spans="1:8" x14ac:dyDescent="0.4">
      <c r="A13" t="s">
        <v>745</v>
      </c>
      <c r="B13">
        <v>291</v>
      </c>
      <c r="C13">
        <v>2548.270965362763</v>
      </c>
      <c r="D13">
        <v>8.756944898153824</v>
      </c>
    </row>
    <row r="14" spans="1:8" x14ac:dyDescent="0.4">
      <c r="A14" s="4" t="s">
        <v>746</v>
      </c>
      <c r="B14" s="4">
        <v>298</v>
      </c>
      <c r="C14" s="4">
        <v>2829.3444816053448</v>
      </c>
      <c r="D14" s="4"/>
      <c r="E14" s="4"/>
    </row>
    <row r="16" spans="1:8" x14ac:dyDescent="0.4">
      <c r="A16" s="7"/>
      <c r="B16" s="7" t="s">
        <v>747</v>
      </c>
      <c r="C16" s="7" t="s">
        <v>711</v>
      </c>
      <c r="D16" s="7" t="s">
        <v>731</v>
      </c>
      <c r="E16" s="7" t="s">
        <v>748</v>
      </c>
      <c r="F16" s="7" t="s">
        <v>749</v>
      </c>
      <c r="G16" s="7" t="s">
        <v>750</v>
      </c>
      <c r="H16" s="7" t="s">
        <v>751</v>
      </c>
    </row>
    <row r="17" spans="1:8" x14ac:dyDescent="0.4">
      <c r="A17" t="s">
        <v>752</v>
      </c>
      <c r="B17">
        <v>9.285471157014598</v>
      </c>
      <c r="C17">
        <v>0.68093071886640233</v>
      </c>
      <c r="D17">
        <v>13.63644038922614</v>
      </c>
      <c r="E17">
        <v>4.4685341673664892E-33</v>
      </c>
      <c r="F17">
        <v>10.625644647825148</v>
      </c>
      <c r="G17">
        <v>7.9452976662040493</v>
      </c>
      <c r="H17">
        <v>10.625644647825148</v>
      </c>
    </row>
    <row r="18" spans="1:8" x14ac:dyDescent="0.4">
      <c r="A18" t="s">
        <v>28</v>
      </c>
      <c r="B18">
        <v>2.7083307702416314E-2</v>
      </c>
      <c r="C18">
        <v>5.3854096480870514E-2</v>
      </c>
      <c r="D18">
        <v>0.50290153344298627</v>
      </c>
      <c r="E18" s="10">
        <v>0.61541390165819565</v>
      </c>
      <c r="F18">
        <v>0.13307622368566002</v>
      </c>
      <c r="G18">
        <v>-7.8909608280827381E-2</v>
      </c>
      <c r="H18">
        <v>0.13307622368566002</v>
      </c>
    </row>
    <row r="19" spans="1:8" x14ac:dyDescent="0.4">
      <c r="A19" t="s">
        <v>30</v>
      </c>
      <c r="B19">
        <v>7.0134510515452109E-2</v>
      </c>
      <c r="C19">
        <v>0.30216382147688364</v>
      </c>
      <c r="D19">
        <v>0.23210757056439196</v>
      </c>
      <c r="E19" s="11">
        <v>0.81661760915319193</v>
      </c>
      <c r="F19">
        <v>0.66483810106499464</v>
      </c>
      <c r="G19">
        <v>-0.52456908003409031</v>
      </c>
      <c r="H19">
        <v>0.66483810106499464</v>
      </c>
    </row>
    <row r="20" spans="1:8" x14ac:dyDescent="0.4">
      <c r="A20" t="s">
        <v>32</v>
      </c>
      <c r="B20">
        <v>-5.1913501552931632E-2</v>
      </c>
      <c r="C20">
        <v>4.215752691821844E-2</v>
      </c>
      <c r="D20">
        <v>-1.2314171477287756</v>
      </c>
      <c r="E20" s="10">
        <v>0.21916112237420801</v>
      </c>
      <c r="F20">
        <v>3.105881625934992E-2</v>
      </c>
      <c r="G20">
        <v>-0.13488581936521318</v>
      </c>
      <c r="H20">
        <v>3.105881625934992E-2</v>
      </c>
    </row>
    <row r="21" spans="1:8" x14ac:dyDescent="0.4">
      <c r="A21" t="s">
        <v>38</v>
      </c>
      <c r="B21">
        <v>0.11774293704694729</v>
      </c>
      <c r="C21">
        <v>0.17822603113521596</v>
      </c>
      <c r="D21">
        <v>0.66063827094717975</v>
      </c>
      <c r="E21" s="10">
        <v>0.50936695024969914</v>
      </c>
      <c r="F21">
        <v>0.46851842078107836</v>
      </c>
      <c r="G21">
        <v>-0.23303254668718382</v>
      </c>
      <c r="H21">
        <v>0.46851842078107836</v>
      </c>
    </row>
    <row r="22" spans="1:8" x14ac:dyDescent="0.4">
      <c r="A22" t="s">
        <v>24</v>
      </c>
      <c r="B22">
        <v>0.15832369356043338</v>
      </c>
      <c r="C22">
        <v>0.34456612977370432</v>
      </c>
      <c r="D22">
        <v>0.45948710531825437</v>
      </c>
      <c r="E22" s="10">
        <v>0.64622747847344386</v>
      </c>
      <c r="F22">
        <v>0.83648136828344166</v>
      </c>
      <c r="G22">
        <v>-0.51983398116257484</v>
      </c>
      <c r="H22">
        <v>0.83648136828344166</v>
      </c>
    </row>
    <row r="23" spans="1:8" x14ac:dyDescent="0.4">
      <c r="A23" t="s">
        <v>26</v>
      </c>
      <c r="B23">
        <v>-1.1067634648324787</v>
      </c>
      <c r="C23">
        <v>0.54102885688608204</v>
      </c>
      <c r="D23">
        <v>-2.0456643869284714</v>
      </c>
      <c r="E23">
        <v>4.168830318648737E-2</v>
      </c>
      <c r="F23">
        <v>-4.1937761316935607E-2</v>
      </c>
      <c r="G23">
        <v>-2.1715891683480217</v>
      </c>
      <c r="H23">
        <v>-4.1937761316935607E-2</v>
      </c>
    </row>
    <row r="24" spans="1:8" x14ac:dyDescent="0.4">
      <c r="A24" s="4" t="s">
        <v>34</v>
      </c>
      <c r="B24" s="4">
        <v>2.9739879696756435</v>
      </c>
      <c r="C24" s="4">
        <v>0.57571325348760183</v>
      </c>
      <c r="D24" s="4">
        <v>5.1657451893969455</v>
      </c>
      <c r="E24" s="4">
        <v>4.4516516420014355E-7</v>
      </c>
      <c r="F24" s="4">
        <v>4.1070777529018221</v>
      </c>
      <c r="G24" s="4">
        <v>1.8408981864494651</v>
      </c>
      <c r="H24" s="4">
        <v>4.1070777529018221</v>
      </c>
    </row>
    <row r="29" spans="1:8" x14ac:dyDescent="0.4">
      <c r="A29" t="s">
        <v>736</v>
      </c>
    </row>
    <row r="31" spans="1:8" x14ac:dyDescent="0.4">
      <c r="A31" s="5" t="s">
        <v>737</v>
      </c>
      <c r="B31" s="5"/>
    </row>
    <row r="32" spans="1:8" x14ac:dyDescent="0.4">
      <c r="A32" t="s">
        <v>738</v>
      </c>
      <c r="B32">
        <v>0.31492147018300648</v>
      </c>
    </row>
    <row r="33" spans="1:8" x14ac:dyDescent="0.4">
      <c r="A33" t="s">
        <v>739</v>
      </c>
      <c r="B33">
        <v>9.9175532382226247E-2</v>
      </c>
    </row>
    <row r="34" spans="1:8" x14ac:dyDescent="0.4">
      <c r="A34" t="s">
        <v>740</v>
      </c>
      <c r="B34">
        <v>8.0665440581861036E-2</v>
      </c>
    </row>
    <row r="35" spans="1:8" x14ac:dyDescent="0.4">
      <c r="A35" t="s">
        <v>711</v>
      </c>
      <c r="B35">
        <v>2.9544155115513586</v>
      </c>
    </row>
    <row r="36" spans="1:8" x14ac:dyDescent="0.4">
      <c r="A36" s="4" t="s">
        <v>728</v>
      </c>
      <c r="B36" s="4">
        <v>299</v>
      </c>
    </row>
    <row r="38" spans="1:8" x14ac:dyDescent="0.4">
      <c r="A38" t="s">
        <v>741</v>
      </c>
    </row>
    <row r="39" spans="1:8" x14ac:dyDescent="0.4">
      <c r="A39" s="7"/>
      <c r="B39" s="7" t="s">
        <v>730</v>
      </c>
      <c r="C39" s="7" t="s">
        <v>742</v>
      </c>
      <c r="D39" s="7" t="s">
        <v>50</v>
      </c>
      <c r="E39" s="7" t="s">
        <v>743</v>
      </c>
    </row>
    <row r="40" spans="1:8" x14ac:dyDescent="0.4">
      <c r="A40" t="s">
        <v>744</v>
      </c>
      <c r="B40">
        <v>6</v>
      </c>
      <c r="C40">
        <v>280.60174525592402</v>
      </c>
      <c r="D40">
        <v>46.766957542654005</v>
      </c>
      <c r="E40">
        <v>5.3579168300110469</v>
      </c>
    </row>
    <row r="41" spans="1:8" x14ac:dyDescent="0.4">
      <c r="A41" t="s">
        <v>745</v>
      </c>
      <c r="B41">
        <v>292</v>
      </c>
      <c r="C41">
        <v>2548.7427363494207</v>
      </c>
      <c r="D41">
        <v>8.7285710148952766</v>
      </c>
    </row>
    <row r="42" spans="1:8" x14ac:dyDescent="0.4">
      <c r="A42" s="4" t="s">
        <v>746</v>
      </c>
      <c r="B42" s="4">
        <v>298</v>
      </c>
      <c r="C42" s="4">
        <v>2829.3444816053448</v>
      </c>
      <c r="D42" s="4"/>
      <c r="E42" s="4"/>
    </row>
    <row r="44" spans="1:8" x14ac:dyDescent="0.4">
      <c r="A44" s="7"/>
      <c r="B44" s="7" t="s">
        <v>747</v>
      </c>
      <c r="C44" s="7" t="s">
        <v>711</v>
      </c>
      <c r="D44" s="7" t="s">
        <v>731</v>
      </c>
      <c r="E44" s="7" t="s">
        <v>748</v>
      </c>
      <c r="F44" s="7" t="s">
        <v>749</v>
      </c>
      <c r="G44" s="7" t="s">
        <v>750</v>
      </c>
      <c r="H44" s="7" t="s">
        <v>751</v>
      </c>
    </row>
    <row r="45" spans="1:8" x14ac:dyDescent="0.4">
      <c r="A45" t="s">
        <v>752</v>
      </c>
      <c r="B45">
        <v>9.3011101827678626</v>
      </c>
      <c r="C45">
        <v>0.67649032380342766</v>
      </c>
      <c r="D45">
        <v>13.74906610707199</v>
      </c>
      <c r="E45">
        <v>1.6493079616227304E-33</v>
      </c>
      <c r="F45">
        <v>10.63252527068026</v>
      </c>
      <c r="G45">
        <v>7.9696950948554655</v>
      </c>
      <c r="H45">
        <v>10.63252527068026</v>
      </c>
    </row>
    <row r="46" spans="1:8" x14ac:dyDescent="0.4">
      <c r="A46" t="s">
        <v>28</v>
      </c>
      <c r="B46">
        <v>2.5461278741923242E-2</v>
      </c>
      <c r="C46">
        <v>5.331218246263851E-2</v>
      </c>
      <c r="D46">
        <v>0.47758837784903396</v>
      </c>
      <c r="E46" s="10">
        <v>0.63330049866652804</v>
      </c>
      <c r="F46">
        <v>0.13038612630104504</v>
      </c>
      <c r="G46">
        <v>-7.9463568817198571E-2</v>
      </c>
      <c r="H46">
        <v>0.13038612630104504</v>
      </c>
    </row>
    <row r="47" spans="1:8" x14ac:dyDescent="0.4">
      <c r="A47" t="s">
        <v>32</v>
      </c>
      <c r="B47">
        <v>-5.0765935750978028E-2</v>
      </c>
      <c r="C47">
        <v>4.1798725377786415E-2</v>
      </c>
      <c r="D47">
        <v>-1.2145331057859761</v>
      </c>
      <c r="E47" s="10">
        <v>0.22552547888123331</v>
      </c>
      <c r="F47">
        <v>3.1499030450759774E-2</v>
      </c>
      <c r="G47">
        <v>-0.13303090195271583</v>
      </c>
      <c r="H47">
        <v>3.1499030450759774E-2</v>
      </c>
    </row>
    <row r="48" spans="1:8" x14ac:dyDescent="0.4">
      <c r="A48" t="s">
        <v>38</v>
      </c>
      <c r="B48">
        <v>0.11749109641123535</v>
      </c>
      <c r="C48">
        <v>0.17793375923624782</v>
      </c>
      <c r="D48">
        <v>0.66030806585297286</v>
      </c>
      <c r="E48" s="10">
        <v>0.50957669229117619</v>
      </c>
      <c r="F48">
        <v>0.46768633699379075</v>
      </c>
      <c r="G48">
        <v>-0.23270414417132007</v>
      </c>
      <c r="H48">
        <v>0.46768633699379075</v>
      </c>
    </row>
    <row r="49" spans="1:8" x14ac:dyDescent="0.4">
      <c r="A49" t="s">
        <v>24</v>
      </c>
      <c r="B49">
        <v>0.16326104194807078</v>
      </c>
      <c r="C49">
        <v>0.34335128308528645</v>
      </c>
      <c r="D49">
        <v>0.47549273875151848</v>
      </c>
      <c r="E49" s="11">
        <v>0.63479131058506044</v>
      </c>
      <c r="F49">
        <v>0.83901805231244386</v>
      </c>
      <c r="G49">
        <v>-0.51249596841630229</v>
      </c>
      <c r="H49">
        <v>0.83901805231244386</v>
      </c>
    </row>
    <row r="50" spans="1:8" x14ac:dyDescent="0.4">
      <c r="A50" t="s">
        <v>26</v>
      </c>
      <c r="B50">
        <v>-1.0946312549714086</v>
      </c>
      <c r="C50">
        <v>0.53762488188644941</v>
      </c>
      <c r="D50">
        <v>-2.0360502124278601</v>
      </c>
      <c r="E50">
        <v>4.2647628570630508E-2</v>
      </c>
      <c r="F50">
        <v>-3.6520215989667815E-2</v>
      </c>
      <c r="G50">
        <v>-2.1527422939531493</v>
      </c>
      <c r="H50">
        <v>-3.6520215989667815E-2</v>
      </c>
    </row>
    <row r="51" spans="1:8" x14ac:dyDescent="0.4">
      <c r="A51" s="4" t="s">
        <v>34</v>
      </c>
      <c r="B51" s="4">
        <v>2.9715819611487451</v>
      </c>
      <c r="C51" s="4">
        <v>0.57468661857901981</v>
      </c>
      <c r="D51" s="4">
        <v>5.1707867646132613</v>
      </c>
      <c r="E51" s="4">
        <v>4.3343253889608805E-7</v>
      </c>
      <c r="F51" s="4">
        <v>4.1026349974960876</v>
      </c>
      <c r="G51" s="4">
        <v>1.8405289248014025</v>
      </c>
      <c r="H51" s="4">
        <v>4.1026349974960876</v>
      </c>
    </row>
    <row r="56" spans="1:8" x14ac:dyDescent="0.4">
      <c r="A56" t="s">
        <v>736</v>
      </c>
    </row>
    <row r="58" spans="1:8" x14ac:dyDescent="0.4">
      <c r="A58" s="5" t="s">
        <v>737</v>
      </c>
      <c r="B58" s="5"/>
    </row>
    <row r="59" spans="1:8" x14ac:dyDescent="0.4">
      <c r="A59" t="s">
        <v>738</v>
      </c>
      <c r="B59">
        <v>0.31381209497862855</v>
      </c>
    </row>
    <row r="60" spans="1:8" x14ac:dyDescent="0.4">
      <c r="A60" t="s">
        <v>739</v>
      </c>
      <c r="B60">
        <v>9.8478030954875784E-2</v>
      </c>
    </row>
    <row r="61" spans="1:8" x14ac:dyDescent="0.4">
      <c r="A61" t="s">
        <v>740</v>
      </c>
      <c r="B61">
        <v>8.3093697012126225E-2</v>
      </c>
    </row>
    <row r="62" spans="1:8" x14ac:dyDescent="0.4">
      <c r="A62" t="s">
        <v>711</v>
      </c>
      <c r="B62">
        <v>2.950511153820377</v>
      </c>
    </row>
    <row r="63" spans="1:8" x14ac:dyDescent="0.4">
      <c r="A63" s="4" t="s">
        <v>728</v>
      </c>
      <c r="B63" s="4">
        <v>299</v>
      </c>
    </row>
    <row r="65" spans="1:8" x14ac:dyDescent="0.4">
      <c r="A65" t="s">
        <v>741</v>
      </c>
    </row>
    <row r="66" spans="1:8" x14ac:dyDescent="0.4">
      <c r="A66" s="7"/>
      <c r="B66" s="7" t="s">
        <v>730</v>
      </c>
      <c r="C66" s="7" t="s">
        <v>742</v>
      </c>
      <c r="D66" s="7" t="s">
        <v>50</v>
      </c>
      <c r="E66" s="7" t="s">
        <v>743</v>
      </c>
    </row>
    <row r="67" spans="1:8" x14ac:dyDescent="0.4">
      <c r="A67" t="s">
        <v>744</v>
      </c>
      <c r="B67">
        <v>5</v>
      </c>
      <c r="C67">
        <v>278.62827344153811</v>
      </c>
      <c r="D67">
        <v>55.725654688307621</v>
      </c>
      <c r="E67">
        <v>6.4011891136364225</v>
      </c>
    </row>
    <row r="68" spans="1:8" x14ac:dyDescent="0.4">
      <c r="A68" t="s">
        <v>745</v>
      </c>
      <c r="B68">
        <v>293</v>
      </c>
      <c r="C68">
        <v>2550.7162081638066</v>
      </c>
      <c r="D68">
        <v>8.7055160688184525</v>
      </c>
    </row>
    <row r="69" spans="1:8" x14ac:dyDescent="0.4">
      <c r="A69" s="4" t="s">
        <v>746</v>
      </c>
      <c r="B69" s="4">
        <v>298</v>
      </c>
      <c r="C69" s="4">
        <v>2829.3444816053448</v>
      </c>
      <c r="D69" s="4"/>
      <c r="E69" s="4"/>
    </row>
    <row r="71" spans="1:8" x14ac:dyDescent="0.4">
      <c r="A71" s="7"/>
      <c r="B71" s="7" t="s">
        <v>747</v>
      </c>
      <c r="C71" s="7" t="s">
        <v>711</v>
      </c>
      <c r="D71" s="7" t="s">
        <v>731</v>
      </c>
      <c r="E71" s="7" t="s">
        <v>748</v>
      </c>
      <c r="F71" s="7" t="s">
        <v>749</v>
      </c>
      <c r="G71" s="7" t="s">
        <v>750</v>
      </c>
      <c r="H71" s="7" t="s">
        <v>751</v>
      </c>
    </row>
    <row r="72" spans="1:8" x14ac:dyDescent="0.4">
      <c r="A72" t="s">
        <v>752</v>
      </c>
      <c r="B72">
        <v>9.3840380484717301</v>
      </c>
      <c r="C72">
        <v>0.65275872268432455</v>
      </c>
      <c r="D72">
        <v>14.375967294442223</v>
      </c>
      <c r="E72">
        <v>7.8882826360809465E-36</v>
      </c>
      <c r="F72">
        <v>10.668728216769003</v>
      </c>
      <c r="G72">
        <v>8.0993478801744576</v>
      </c>
      <c r="H72">
        <v>10.668728216769003</v>
      </c>
    </row>
    <row r="73" spans="1:8" x14ac:dyDescent="0.4">
      <c r="A73" t="s">
        <v>28</v>
      </c>
      <c r="B73">
        <v>2.6280904256187933E-2</v>
      </c>
      <c r="C73">
        <v>5.3213891426868588E-2</v>
      </c>
      <c r="D73">
        <v>0.4938730010434505</v>
      </c>
      <c r="E73" s="11">
        <v>0.62176589190871401</v>
      </c>
      <c r="F73">
        <v>0.13101081556523567</v>
      </c>
      <c r="G73">
        <v>-7.8449007052859787E-2</v>
      </c>
      <c r="H73">
        <v>0.13101081556523567</v>
      </c>
    </row>
    <row r="74" spans="1:8" x14ac:dyDescent="0.4">
      <c r="A74" t="s">
        <v>32</v>
      </c>
      <c r="B74">
        <v>-5.208767857981314E-2</v>
      </c>
      <c r="C74">
        <v>4.165107680910636E-2</v>
      </c>
      <c r="D74">
        <v>-1.2505721957331239</v>
      </c>
      <c r="E74" s="10">
        <v>0.21208836280932142</v>
      </c>
      <c r="F74">
        <v>2.9885532985419974E-2</v>
      </c>
      <c r="G74">
        <v>-0.13406089014504624</v>
      </c>
      <c r="H74">
        <v>2.9885532985419974E-2</v>
      </c>
    </row>
    <row r="75" spans="1:8" x14ac:dyDescent="0.4">
      <c r="A75" t="s">
        <v>38</v>
      </c>
      <c r="B75">
        <v>0.12154744709726176</v>
      </c>
      <c r="C75">
        <v>0.17749426592204157</v>
      </c>
      <c r="D75">
        <v>0.68479647196404314</v>
      </c>
      <c r="E75" s="10">
        <v>0.49401370488700413</v>
      </c>
      <c r="F75">
        <v>0.4708727497473526</v>
      </c>
      <c r="G75">
        <v>-0.22777785555282912</v>
      </c>
      <c r="H75">
        <v>0.4708727497473526</v>
      </c>
    </row>
    <row r="76" spans="1:8" x14ac:dyDescent="0.4">
      <c r="A76" t="s">
        <v>26</v>
      </c>
      <c r="B76">
        <v>-1.106969828717137</v>
      </c>
      <c r="C76">
        <v>0.53628862731867033</v>
      </c>
      <c r="D76">
        <v>-2.0641307167965728</v>
      </c>
      <c r="E76">
        <v>3.9885436349340657E-2</v>
      </c>
      <c r="F76">
        <v>-5.1503692542468782E-2</v>
      </c>
      <c r="G76">
        <v>-2.162435964891805</v>
      </c>
      <c r="H76">
        <v>-5.1503692542468782E-2</v>
      </c>
    </row>
    <row r="77" spans="1:8" x14ac:dyDescent="0.4">
      <c r="A77" s="4" t="s">
        <v>34</v>
      </c>
      <c r="B77" s="4">
        <v>2.9660786055122288</v>
      </c>
      <c r="C77" s="4">
        <v>0.57381074504359264</v>
      </c>
      <c r="D77" s="4">
        <v>5.1690886431324925</v>
      </c>
      <c r="E77" s="4">
        <v>4.3618328689395491E-7</v>
      </c>
      <c r="F77" s="4">
        <v>4.0953917759121481</v>
      </c>
      <c r="G77" s="4">
        <v>1.8367654351123095</v>
      </c>
      <c r="H77" s="4">
        <v>4.0953917759121481</v>
      </c>
    </row>
    <row r="82" spans="1:5" x14ac:dyDescent="0.4">
      <c r="A82" t="s">
        <v>736</v>
      </c>
    </row>
    <row r="84" spans="1:5" x14ac:dyDescent="0.4">
      <c r="A84" s="5" t="s">
        <v>737</v>
      </c>
      <c r="B84" s="5"/>
    </row>
    <row r="85" spans="1:5" x14ac:dyDescent="0.4">
      <c r="A85" t="s">
        <v>738</v>
      </c>
      <c r="B85">
        <v>0.31261406032263794</v>
      </c>
    </row>
    <row r="86" spans="1:5" x14ac:dyDescent="0.4">
      <c r="A86" t="s">
        <v>739</v>
      </c>
      <c r="B86">
        <v>9.7727550711405931E-2</v>
      </c>
    </row>
    <row r="87" spans="1:5" x14ac:dyDescent="0.4">
      <c r="A87" t="s">
        <v>740</v>
      </c>
      <c r="B87">
        <v>8.545173507482641E-2</v>
      </c>
    </row>
    <row r="88" spans="1:5" x14ac:dyDescent="0.4">
      <c r="A88" t="s">
        <v>711</v>
      </c>
      <c r="B88">
        <v>2.9467147481797777</v>
      </c>
    </row>
    <row r="89" spans="1:5" x14ac:dyDescent="0.4">
      <c r="A89" s="4" t="s">
        <v>728</v>
      </c>
      <c r="B89" s="4">
        <v>299</v>
      </c>
    </row>
    <row r="91" spans="1:5" x14ac:dyDescent="0.4">
      <c r="A91" t="s">
        <v>741</v>
      </c>
    </row>
    <row r="92" spans="1:5" x14ac:dyDescent="0.4">
      <c r="A92" s="7"/>
      <c r="B92" s="7" t="s">
        <v>730</v>
      </c>
      <c r="C92" s="7" t="s">
        <v>742</v>
      </c>
      <c r="D92" s="7" t="s">
        <v>50</v>
      </c>
      <c r="E92" s="7" t="s">
        <v>743</v>
      </c>
    </row>
    <row r="93" spans="1:5" x14ac:dyDescent="0.4">
      <c r="A93" t="s">
        <v>744</v>
      </c>
      <c r="B93">
        <v>4</v>
      </c>
      <c r="C93">
        <v>276.50490630612285</v>
      </c>
      <c r="D93">
        <v>69.126226576530712</v>
      </c>
      <c r="E93">
        <v>7.9609822764197498</v>
      </c>
    </row>
    <row r="94" spans="1:5" x14ac:dyDescent="0.4">
      <c r="A94" t="s">
        <v>745</v>
      </c>
      <c r="B94">
        <v>294</v>
      </c>
      <c r="C94">
        <v>2552.8395752992219</v>
      </c>
      <c r="D94">
        <v>8.6831278071402114</v>
      </c>
    </row>
    <row r="95" spans="1:5" x14ac:dyDescent="0.4">
      <c r="A95" s="4" t="s">
        <v>746</v>
      </c>
      <c r="B95" s="4">
        <v>298</v>
      </c>
      <c r="C95" s="4">
        <v>2829.3444816053448</v>
      </c>
      <c r="D95" s="4"/>
      <c r="E95" s="4"/>
    </row>
    <row r="97" spans="1:8" x14ac:dyDescent="0.4">
      <c r="A97" s="7"/>
      <c r="B97" s="7" t="s">
        <v>747</v>
      </c>
      <c r="C97" s="7" t="s">
        <v>711</v>
      </c>
      <c r="D97" s="7" t="s">
        <v>731</v>
      </c>
      <c r="E97" s="7" t="s">
        <v>748</v>
      </c>
      <c r="F97" s="7" t="s">
        <v>749</v>
      </c>
      <c r="G97" s="7" t="s">
        <v>750</v>
      </c>
      <c r="H97" s="7" t="s">
        <v>751</v>
      </c>
    </row>
    <row r="98" spans="1:8" x14ac:dyDescent="0.4">
      <c r="A98" t="s">
        <v>752</v>
      </c>
      <c r="B98">
        <v>9.4991073181726104</v>
      </c>
      <c r="C98">
        <v>0.60897596153775257</v>
      </c>
      <c r="D98">
        <v>15.598493073825095</v>
      </c>
      <c r="E98">
        <v>2.1943802622634643E-40</v>
      </c>
      <c r="F98">
        <v>10.697612013679857</v>
      </c>
      <c r="G98">
        <v>8.3006026226653642</v>
      </c>
      <c r="H98">
        <v>10.697612013679857</v>
      </c>
    </row>
    <row r="99" spans="1:8" x14ac:dyDescent="0.4">
      <c r="A99" t="s">
        <v>32</v>
      </c>
      <c r="B99">
        <v>-5.2111027748833944E-2</v>
      </c>
      <c r="C99">
        <v>4.1597457811749068E-2</v>
      </c>
      <c r="D99">
        <v>-1.2527454919159833</v>
      </c>
      <c r="E99" s="10">
        <v>0.21129384702071202</v>
      </c>
      <c r="F99">
        <v>2.9755501732322248E-2</v>
      </c>
      <c r="G99">
        <v>-0.13397755722999014</v>
      </c>
      <c r="H99">
        <v>2.9755501732322248E-2</v>
      </c>
    </row>
    <row r="100" spans="1:8" x14ac:dyDescent="0.4">
      <c r="A100" t="s">
        <v>38</v>
      </c>
      <c r="B100">
        <v>0.10912062273777387</v>
      </c>
      <c r="C100">
        <v>0.17547563027951743</v>
      </c>
      <c r="D100">
        <v>0.62185628035046348</v>
      </c>
      <c r="E100" s="11">
        <v>0.53451829699859155</v>
      </c>
      <c r="F100">
        <v>0.45446818999812377</v>
      </c>
      <c r="G100">
        <v>-0.23622694452257606</v>
      </c>
      <c r="H100">
        <v>0.45446818999812377</v>
      </c>
    </row>
    <row r="101" spans="1:8" x14ac:dyDescent="0.4">
      <c r="A101" t="s">
        <v>26</v>
      </c>
      <c r="B101">
        <v>-1.1070062030298837</v>
      </c>
      <c r="C101">
        <v>0.53559858279200312</v>
      </c>
      <c r="D101">
        <v>-2.0668579764703816</v>
      </c>
      <c r="E101">
        <v>3.9622768396910993E-2</v>
      </c>
      <c r="F101">
        <v>-5.2913009002474087E-2</v>
      </c>
      <c r="G101">
        <v>-2.1610993970572934</v>
      </c>
      <c r="H101">
        <v>-5.2913009002474087E-2</v>
      </c>
    </row>
    <row r="102" spans="1:8" x14ac:dyDescent="0.4">
      <c r="A102" s="4" t="s">
        <v>34</v>
      </c>
      <c r="B102" s="4">
        <v>2.9684586456821913</v>
      </c>
      <c r="C102" s="4">
        <v>0.57305221507480386</v>
      </c>
      <c r="D102" s="4">
        <v>5.1800840614405459</v>
      </c>
      <c r="E102" s="4">
        <v>4.124513874096206E-7</v>
      </c>
      <c r="F102" s="4">
        <v>4.0962630483448139</v>
      </c>
      <c r="G102" s="4">
        <v>1.8406542430195689</v>
      </c>
      <c r="H102" s="4">
        <v>4.0962630483448139</v>
      </c>
    </row>
    <row r="107" spans="1:8" x14ac:dyDescent="0.4">
      <c r="A107" t="s">
        <v>736</v>
      </c>
    </row>
    <row r="109" spans="1:8" x14ac:dyDescent="0.4">
      <c r="A109" s="5" t="s">
        <v>737</v>
      </c>
      <c r="B109" s="5"/>
    </row>
    <row r="110" spans="1:8" x14ac:dyDescent="0.4">
      <c r="A110" t="s">
        <v>738</v>
      </c>
      <c r="B110">
        <v>0.3107101063268472</v>
      </c>
    </row>
    <row r="111" spans="1:8" x14ac:dyDescent="0.4">
      <c r="A111" t="s">
        <v>739</v>
      </c>
      <c r="B111">
        <v>9.6540770173640697E-2</v>
      </c>
    </row>
    <row r="112" spans="1:8" x14ac:dyDescent="0.4">
      <c r="A112" t="s">
        <v>740</v>
      </c>
      <c r="B112">
        <v>8.7353049192355689E-2</v>
      </c>
    </row>
    <row r="113" spans="1:8" x14ac:dyDescent="0.4">
      <c r="A113" t="s">
        <v>711</v>
      </c>
      <c r="B113">
        <v>2.9436500956538287</v>
      </c>
    </row>
    <row r="114" spans="1:8" x14ac:dyDescent="0.4">
      <c r="A114" s="4" t="s">
        <v>728</v>
      </c>
      <c r="B114" s="4">
        <v>299</v>
      </c>
    </row>
    <row r="116" spans="1:8" x14ac:dyDescent="0.4">
      <c r="A116" t="s">
        <v>741</v>
      </c>
    </row>
    <row r="117" spans="1:8" x14ac:dyDescent="0.4">
      <c r="A117" s="7"/>
      <c r="B117" s="7" t="s">
        <v>730</v>
      </c>
      <c r="C117" s="7" t="s">
        <v>742</v>
      </c>
      <c r="D117" s="7" t="s">
        <v>50</v>
      </c>
      <c r="E117" s="7" t="s">
        <v>743</v>
      </c>
    </row>
    <row r="118" spans="1:8" x14ac:dyDescent="0.4">
      <c r="A118" t="s">
        <v>744</v>
      </c>
      <c r="B118">
        <v>3</v>
      </c>
      <c r="C118">
        <v>273.14709534072017</v>
      </c>
      <c r="D118">
        <v>91.049031780240057</v>
      </c>
      <c r="E118">
        <v>10.507586197958132</v>
      </c>
    </row>
    <row r="119" spans="1:8" x14ac:dyDescent="0.4">
      <c r="A119" t="s">
        <v>745</v>
      </c>
      <c r="B119">
        <v>295</v>
      </c>
      <c r="C119">
        <v>2556.1973862646246</v>
      </c>
      <c r="D119">
        <v>8.6650758856427945</v>
      </c>
    </row>
    <row r="120" spans="1:8" x14ac:dyDescent="0.4">
      <c r="A120" s="4" t="s">
        <v>746</v>
      </c>
      <c r="B120" s="4">
        <v>298</v>
      </c>
      <c r="C120" s="4">
        <v>2829.3444816053448</v>
      </c>
      <c r="D120" s="4"/>
      <c r="E120" s="4"/>
    </row>
    <row r="122" spans="1:8" x14ac:dyDescent="0.4">
      <c r="A122" s="7"/>
      <c r="B122" s="7" t="s">
        <v>747</v>
      </c>
      <c r="C122" s="7" t="s">
        <v>711</v>
      </c>
      <c r="D122" s="7" t="s">
        <v>731</v>
      </c>
      <c r="E122" s="7" t="s">
        <v>748</v>
      </c>
      <c r="F122" s="7" t="s">
        <v>749</v>
      </c>
      <c r="G122" s="7" t="s">
        <v>750</v>
      </c>
      <c r="H122" s="7" t="s">
        <v>751</v>
      </c>
    </row>
    <row r="123" spans="1:8" x14ac:dyDescent="0.4">
      <c r="A123" t="s">
        <v>752</v>
      </c>
      <c r="B123">
        <v>9.6474656211015706</v>
      </c>
      <c r="C123">
        <v>0.55971586081633196</v>
      </c>
      <c r="D123">
        <v>17.236362762761406</v>
      </c>
      <c r="E123">
        <v>1.5356403341825674E-46</v>
      </c>
      <c r="F123">
        <v>10.749007768696845</v>
      </c>
      <c r="G123">
        <v>8.5459234735062957</v>
      </c>
      <c r="H123">
        <v>10.749007768696845</v>
      </c>
    </row>
    <row r="124" spans="1:8" x14ac:dyDescent="0.4">
      <c r="A124" t="s">
        <v>32</v>
      </c>
      <c r="B124">
        <v>-4.716494463519131E-2</v>
      </c>
      <c r="C124">
        <v>4.0787506700540918E-2</v>
      </c>
      <c r="D124">
        <v>-1.1563576313078685</v>
      </c>
      <c r="E124" s="11">
        <v>0.24847048911343214</v>
      </c>
      <c r="F124">
        <v>3.3106423162823896E-2</v>
      </c>
      <c r="G124">
        <v>-0.12743631243320652</v>
      </c>
      <c r="H124">
        <v>3.3106423162823896E-2</v>
      </c>
    </row>
    <row r="125" spans="1:8" x14ac:dyDescent="0.4">
      <c r="A125" t="s">
        <v>26</v>
      </c>
      <c r="B125">
        <v>-1.0968171868893317</v>
      </c>
      <c r="C125">
        <v>0.53479113013652846</v>
      </c>
      <c r="D125">
        <v>-2.0509262870708458</v>
      </c>
      <c r="E125">
        <v>4.1157263290591869E-2</v>
      </c>
      <c r="F125">
        <v>-4.4327859275290926E-2</v>
      </c>
      <c r="G125">
        <v>-2.1493065145033725</v>
      </c>
      <c r="H125">
        <v>-4.4327859275290926E-2</v>
      </c>
    </row>
    <row r="126" spans="1:8" x14ac:dyDescent="0.4">
      <c r="A126" s="4" t="s">
        <v>34</v>
      </c>
      <c r="B126" s="4">
        <v>2.9916490459594258</v>
      </c>
      <c r="C126" s="4">
        <v>0.57124278014679264</v>
      </c>
      <c r="D126" s="4">
        <v>5.2370885898823261</v>
      </c>
      <c r="E126" s="4">
        <v>3.1071859721043767E-7</v>
      </c>
      <c r="F126" s="4">
        <v>4.1158766101443138</v>
      </c>
      <c r="G126" s="4">
        <v>1.8674214817745374</v>
      </c>
      <c r="H126" s="4">
        <v>4.1158766101443138</v>
      </c>
    </row>
    <row r="131" spans="1:5" x14ac:dyDescent="0.4">
      <c r="A131" t="s">
        <v>736</v>
      </c>
    </row>
    <row r="133" spans="1:5" x14ac:dyDescent="0.4">
      <c r="A133" s="12" t="s">
        <v>737</v>
      </c>
      <c r="B133" s="12" t="s">
        <v>753</v>
      </c>
    </row>
    <row r="134" spans="1:5" x14ac:dyDescent="0.4">
      <c r="A134" t="s">
        <v>738</v>
      </c>
      <c r="B134">
        <v>0.30404869688501263</v>
      </c>
    </row>
    <row r="135" spans="1:5" x14ac:dyDescent="0.4">
      <c r="A135" t="s">
        <v>739</v>
      </c>
      <c r="B135">
        <v>9.2445610077474275E-2</v>
      </c>
    </row>
    <row r="136" spans="1:5" x14ac:dyDescent="0.4">
      <c r="A136" t="s">
        <v>740</v>
      </c>
      <c r="B136">
        <v>8.6313485821240987E-2</v>
      </c>
    </row>
    <row r="137" spans="1:5" x14ac:dyDescent="0.4">
      <c r="A137" t="s">
        <v>711</v>
      </c>
      <c r="B137">
        <v>2.9453261215773638</v>
      </c>
    </row>
    <row r="138" spans="1:5" x14ac:dyDescent="0.4">
      <c r="A138" t="s">
        <v>728</v>
      </c>
      <c r="B138">
        <v>299</v>
      </c>
    </row>
    <row r="140" spans="1:5" x14ac:dyDescent="0.4">
      <c r="A140" t="s">
        <v>741</v>
      </c>
    </row>
    <row r="141" spans="1:5" x14ac:dyDescent="0.4">
      <c r="A141" s="7"/>
      <c r="B141" s="7" t="s">
        <v>730</v>
      </c>
      <c r="C141" s="7" t="s">
        <v>742</v>
      </c>
      <c r="D141" s="7" t="s">
        <v>50</v>
      </c>
      <c r="E141" s="7" t="s">
        <v>743</v>
      </c>
    </row>
    <row r="142" spans="1:5" x14ac:dyDescent="0.4">
      <c r="A142" t="s">
        <v>744</v>
      </c>
      <c r="B142">
        <v>2</v>
      </c>
      <c r="C142">
        <v>261.56047672134127</v>
      </c>
      <c r="D142">
        <v>130.78023836067064</v>
      </c>
      <c r="E142">
        <v>15.075625707274874</v>
      </c>
    </row>
    <row r="143" spans="1:5" x14ac:dyDescent="0.4">
      <c r="A143" t="s">
        <v>745</v>
      </c>
      <c r="B143">
        <v>296</v>
      </c>
      <c r="C143">
        <v>2567.7840048840035</v>
      </c>
      <c r="D143">
        <v>8.6749459624459568</v>
      </c>
    </row>
    <row r="144" spans="1:5" x14ac:dyDescent="0.4">
      <c r="A144" s="4" t="s">
        <v>746</v>
      </c>
      <c r="B144" s="4">
        <v>298</v>
      </c>
      <c r="C144" s="4">
        <v>2829.3444816053448</v>
      </c>
      <c r="D144" s="4"/>
      <c r="E144" s="4"/>
    </row>
    <row r="146" spans="1:8" x14ac:dyDescent="0.4">
      <c r="A146" s="7"/>
      <c r="B146" s="7" t="s">
        <v>747</v>
      </c>
      <c r="C146" s="7" t="s">
        <v>711</v>
      </c>
      <c r="D146" s="7" t="s">
        <v>731</v>
      </c>
      <c r="E146" s="7" t="s">
        <v>748</v>
      </c>
      <c r="F146" s="7" t="s">
        <v>749</v>
      </c>
      <c r="G146" s="7" t="s">
        <v>750</v>
      </c>
      <c r="H146" s="7" t="s">
        <v>751</v>
      </c>
    </row>
    <row r="147" spans="1:8" x14ac:dyDescent="0.4">
      <c r="A147" t="s">
        <v>752</v>
      </c>
      <c r="B147">
        <v>9.4666666666666632</v>
      </c>
      <c r="C147">
        <v>0.53774051866570927</v>
      </c>
      <c r="D147">
        <v>17.604525487787711</v>
      </c>
      <c r="E147">
        <v>5.8064741055396709E-48</v>
      </c>
      <c r="F147">
        <v>10.524945776039221</v>
      </c>
      <c r="G147">
        <v>8.4083875572941054</v>
      </c>
      <c r="H147">
        <v>10.524945776039221</v>
      </c>
    </row>
    <row r="148" spans="1:8" x14ac:dyDescent="0.4">
      <c r="A148" t="s">
        <v>26</v>
      </c>
      <c r="B148">
        <v>-1.1400488400488393</v>
      </c>
      <c r="C148">
        <v>0.53378649062144445</v>
      </c>
      <c r="D148">
        <v>-2.1357768697397579</v>
      </c>
      <c r="E148">
        <v>3.3518040002432879E-2</v>
      </c>
      <c r="F148">
        <v>-8.955130028442948E-2</v>
      </c>
      <c r="G148">
        <v>-2.1905463798132492</v>
      </c>
      <c r="H148">
        <v>-8.955130028442948E-2</v>
      </c>
    </row>
    <row r="149" spans="1:8" x14ac:dyDescent="0.4">
      <c r="A149" s="4" t="s">
        <v>34</v>
      </c>
      <c r="B149" s="4">
        <v>3.0162393162393193</v>
      </c>
      <c r="C149" s="4">
        <v>0.57117185159792117</v>
      </c>
      <c r="D149" s="4">
        <v>5.2807912501308163</v>
      </c>
      <c r="E149" s="4">
        <v>2.495239350861765E-7</v>
      </c>
      <c r="F149" s="4">
        <v>4.1403116474587742</v>
      </c>
      <c r="G149" s="4">
        <v>1.8921669850198644</v>
      </c>
      <c r="H149" s="4">
        <v>4.1403116474587742</v>
      </c>
    </row>
    <row r="157" spans="1:8" x14ac:dyDescent="0.4">
      <c r="A157" t="s">
        <v>754</v>
      </c>
      <c r="B157" t="s">
        <v>755</v>
      </c>
      <c r="C157" t="s">
        <v>756</v>
      </c>
    </row>
    <row r="158" spans="1:8" x14ac:dyDescent="0.4">
      <c r="A158" t="s">
        <v>26</v>
      </c>
      <c r="B158">
        <v>0.14000000000000001</v>
      </c>
      <c r="C158">
        <v>1.163</v>
      </c>
    </row>
    <row r="159" spans="1:8" x14ac:dyDescent="0.4">
      <c r="A159" t="s">
        <v>34</v>
      </c>
      <c r="B159">
        <v>0.77800000000000002</v>
      </c>
      <c r="C159">
        <v>4.5129999999999999</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3EAC6550CD1A498F3CB4CBE3E837DF" ma:contentTypeVersion="6" ma:contentTypeDescription="Create a new document." ma:contentTypeScope="" ma:versionID="1b66993942b81dbf0e3c8cb211167ff0">
  <xsd:schema xmlns:xsd="http://www.w3.org/2001/XMLSchema" xmlns:xs="http://www.w3.org/2001/XMLSchema" xmlns:p="http://schemas.microsoft.com/office/2006/metadata/properties" xmlns:ns3="4dc81cb3-2854-44b8-954b-17b208463846" targetNamespace="http://schemas.microsoft.com/office/2006/metadata/properties" ma:root="true" ma:fieldsID="2afeff9cfaee36277fcfa8c74bd27abd" ns3:_="">
    <xsd:import namespace="4dc81cb3-2854-44b8-954b-17b208463846"/>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c81cb3-2854-44b8-954b-17b20846384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4dc81cb3-2854-44b8-954b-17b20846384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372186F-CFFC-448F-B24E-ECE151416F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c81cb3-2854-44b8-954b-17b20846384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8E7BC8E-9BF7-48E5-96B0-E9E4AA969C9E}">
  <ds:schemaRefs>
    <ds:schemaRef ds:uri="http://www.w3.org/XML/1998/namespace"/>
    <ds:schemaRef ds:uri="http://purl.org/dc/elements/1.1/"/>
    <ds:schemaRef ds:uri="http://schemas.microsoft.com/office/infopath/2007/PartnerControls"/>
    <ds:schemaRef ds:uri="http://purl.org/dc/dcmitype/"/>
    <ds:schemaRef ds:uri="http://schemas.openxmlformats.org/package/2006/metadata/core-properties"/>
    <ds:schemaRef ds:uri="http://schemas.microsoft.com/office/2006/documentManagement/types"/>
    <ds:schemaRef ds:uri="4dc81cb3-2854-44b8-954b-17b208463846"/>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33A40B56-FABC-4494-9023-663A9F4E50E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 Dictionary</vt:lpstr>
      <vt:lpstr>Raw Data</vt:lpstr>
      <vt:lpstr>Data Dictionary (Edited Data)</vt:lpstr>
      <vt:lpstr>Edited Data</vt:lpstr>
      <vt:lpstr>Descriptive Analysis</vt:lpstr>
      <vt:lpstr>Hypothesis Test - T Test </vt:lpstr>
      <vt:lpstr>Correlation</vt:lpstr>
      <vt:lpstr>Dummy Variables</vt:lpstr>
      <vt:lpstr>Residual Output</vt:lpstr>
      <vt:lpstr>Regression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Bigsby, Kristina</dc:creator>
  <cp:keywords/>
  <dc:description/>
  <cp:lastModifiedBy>King, Makayla A</cp:lastModifiedBy>
  <cp:revision/>
  <cp:lastPrinted>2026-03-25T23:19:20Z</cp:lastPrinted>
  <dcterms:created xsi:type="dcterms:W3CDTF">2025-06-09T18:35:48Z</dcterms:created>
  <dcterms:modified xsi:type="dcterms:W3CDTF">2026-03-25T23:31:54Z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0x010100903EAC6550CD1A498F3CB4CBE3E837DF</vt:lpwstr>
  </property>
</Properties>
</file>